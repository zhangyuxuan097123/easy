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b=0.8" sheetId="1" r:id="rId5"/>
    <sheet state="visible" name="Tb=1" sheetId="2" r:id="rId6"/>
    <sheet state="visible" name="Tb=1.2" sheetId="3" r:id="rId7"/>
  </sheets>
  <definedNames/>
  <calcPr/>
</workbook>
</file>

<file path=xl/sharedStrings.xml><?xml version="1.0" encoding="utf-8"?>
<sst xmlns="http://schemas.openxmlformats.org/spreadsheetml/2006/main" count="120" uniqueCount="34">
  <si>
    <t>Station</t>
  </si>
  <si>
    <t>Machine</t>
  </si>
  <si>
    <t>Success rate</t>
  </si>
  <si>
    <t>Power(kW)加工功率</t>
  </si>
  <si>
    <t>capacity</t>
  </si>
  <si>
    <t>Capacity_Prob</t>
  </si>
  <si>
    <t>k</t>
  </si>
  <si>
    <t>pi(deg)</t>
  </si>
  <si>
    <t>d=</t>
  </si>
  <si>
    <t>Mu=</t>
  </si>
  <si>
    <t>CO2=</t>
  </si>
  <si>
    <t>Tb=</t>
  </si>
  <si>
    <t>投入量計算</t>
  </si>
  <si>
    <t>碳排放計算</t>
  </si>
  <si>
    <t>投入量</t>
  </si>
  <si>
    <t>取整後</t>
  </si>
  <si>
    <t>Power</t>
  </si>
  <si>
    <t>Carbon</t>
  </si>
  <si>
    <t>I1 =原始</t>
  </si>
  <si>
    <t>Station 1</t>
  </si>
  <si>
    <t>I2 =f2</t>
  </si>
  <si>
    <t>Station 2</t>
  </si>
  <si>
    <t>I3 =f3</t>
  </si>
  <si>
    <t>Station 3</t>
  </si>
  <si>
    <t>I4 =f4</t>
  </si>
  <si>
    <t>Station 4</t>
  </si>
  <si>
    <t>I5 =f5</t>
  </si>
  <si>
    <t>Station 5</t>
  </si>
  <si>
    <t>total</t>
  </si>
  <si>
    <t>Minimal capacity</t>
  </si>
  <si>
    <t>可靠度計算</t>
  </si>
  <si>
    <t>R_d=</t>
  </si>
  <si>
    <t>耗損</t>
  </si>
  <si>
    <t>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</si>
</sst>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sz val="12.0"/>
      <color theme="1"/>
      <name val="Times New Roman"/>
    </font>
    <font>
      <color rgb="FFFF0000"/>
      <name val="Arial"/>
    </font>
    <font>
      <b/>
      <sz val="12.0"/>
      <color theme="1"/>
      <name val="Arial"/>
    </font>
    <font>
      <sz val="12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 vertical="bottom"/>
    </xf>
    <xf borderId="0" fillId="0" fontId="2" numFmtId="0" xfId="0" applyAlignment="1" applyFont="1">
      <alignment vertical="bottom"/>
    </xf>
    <xf borderId="2" fillId="2" fontId="3" numFmtId="0" xfId="0" applyAlignment="1" applyBorder="1" applyFill="1" applyFont="1">
      <alignment horizontal="right" vertical="bottom"/>
    </xf>
    <xf borderId="1" fillId="2" fontId="3" numFmtId="0" xfId="0" applyAlignment="1" applyBorder="1" applyFont="1">
      <alignment horizontal="right" vertical="bottom"/>
    </xf>
    <xf borderId="1" fillId="3" fontId="3" numFmtId="0" xfId="0" applyAlignment="1" applyBorder="1" applyFill="1" applyFont="1">
      <alignment horizontal="right" vertical="bottom"/>
    </xf>
    <xf borderId="1" fillId="3" fontId="3" numFmtId="0" xfId="0" applyAlignment="1" applyBorder="1" applyFont="1">
      <alignment horizontal="right" readingOrder="0" vertical="bottom"/>
    </xf>
    <xf borderId="1" fillId="2" fontId="3" numFmtId="0" xfId="0" applyAlignment="1" applyBorder="1" applyFont="1">
      <alignment horizontal="right" readingOrder="0" vertical="bottom"/>
    </xf>
    <xf borderId="3" fillId="2" fontId="3" numFmtId="0" xfId="0" applyAlignment="1" applyBorder="1" applyFont="1">
      <alignment horizontal="right" vertical="bottom"/>
    </xf>
    <xf borderId="1" fillId="0" fontId="2" numFmtId="0" xfId="0" applyAlignment="1" applyBorder="1" applyFont="1">
      <alignment horizontal="right" vertical="bottom"/>
    </xf>
    <xf borderId="1" fillId="0" fontId="2" numFmtId="0" xfId="0" applyAlignment="1" applyBorder="1" applyFont="1">
      <alignment vertical="bottom"/>
    </xf>
    <xf borderId="4" fillId="2" fontId="2" numFmtId="0" xfId="0" applyAlignment="1" applyBorder="1" applyFont="1">
      <alignment vertical="bottom"/>
    </xf>
    <xf borderId="5" fillId="3" fontId="2" numFmtId="0" xfId="0" applyAlignment="1" applyBorder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6" fillId="0" fontId="2" numFmtId="0" xfId="0" applyAlignment="1" applyBorder="1" applyFont="1">
      <alignment vertical="bottom"/>
    </xf>
    <xf borderId="7" fillId="3" fontId="2" numFmtId="0" xfId="0" applyAlignment="1" applyBorder="1" applyFont="1">
      <alignment horizontal="right" vertical="bottom"/>
    </xf>
    <xf borderId="0" fillId="4" fontId="4" numFmtId="0" xfId="0" applyAlignment="1" applyFill="1" applyFont="1">
      <alignment readingOrder="0" vertical="bottom"/>
    </xf>
    <xf borderId="0" fillId="0" fontId="5" numFmtId="0" xfId="0" applyAlignment="1" applyFont="1">
      <alignment horizontal="right" vertical="bottom"/>
    </xf>
    <xf borderId="8" fillId="2" fontId="3" numFmtId="0" xfId="0" applyAlignment="1" applyBorder="1" applyFont="1">
      <alignment horizontal="right" vertical="bottom"/>
    </xf>
    <xf borderId="9" fillId="2" fontId="3" numFmtId="0" xfId="0" applyAlignment="1" applyBorder="1" applyFont="1">
      <alignment horizontal="right" vertical="bottom"/>
    </xf>
    <xf borderId="9" fillId="3" fontId="3" numFmtId="0" xfId="0" applyAlignment="1" applyBorder="1" applyFont="1">
      <alignment horizontal="right" vertical="bottom"/>
    </xf>
    <xf borderId="9" fillId="2" fontId="3" numFmtId="0" xfId="0" applyAlignment="1" applyBorder="1" applyFont="1">
      <alignment horizontal="right" readingOrder="0" vertical="bottom"/>
    </xf>
    <xf borderId="10" fillId="2" fontId="3" numFmtId="0" xfId="0" applyAlignment="1" applyBorder="1" applyFont="1">
      <alignment horizontal="right" vertical="bottom"/>
    </xf>
    <xf borderId="0" fillId="0" fontId="6" numFmtId="0" xfId="0" applyAlignment="1" applyFont="1">
      <alignment vertical="bottom"/>
    </xf>
    <xf borderId="0" fillId="0" fontId="3" numFmtId="0" xfId="0" applyAlignment="1" applyFont="1">
      <alignment vertical="bottom"/>
    </xf>
    <xf borderId="11" fillId="2" fontId="3" numFmtId="0" xfId="0" applyAlignment="1" applyBorder="1" applyFont="1">
      <alignment horizontal="right" vertical="bottom"/>
    </xf>
    <xf borderId="12" fillId="2" fontId="3" numFmtId="0" xfId="0" applyAlignment="1" applyBorder="1" applyFont="1">
      <alignment horizontal="right" vertical="bottom"/>
    </xf>
    <xf borderId="12" fillId="3" fontId="3" numFmtId="0" xfId="0" applyAlignment="1" applyBorder="1" applyFont="1">
      <alignment horizontal="right" readingOrder="0" vertical="bottom"/>
    </xf>
    <xf borderId="6" fillId="2" fontId="3" numFmtId="0" xfId="0" applyAlignment="1" applyBorder="1" applyFont="1">
      <alignment horizontal="right" vertical="bottom"/>
    </xf>
    <xf borderId="0" fillId="0" fontId="3" numFmtId="0" xfId="0" applyAlignment="1" applyFont="1">
      <alignment horizontal="right" vertical="bottom"/>
    </xf>
    <xf borderId="13" fillId="2" fontId="3" numFmtId="0" xfId="0" applyAlignment="1" applyBorder="1" applyFont="1">
      <alignment horizontal="right" vertical="bottom"/>
    </xf>
    <xf borderId="14" fillId="2" fontId="3" numFmtId="0" xfId="0" applyAlignment="1" applyBorder="1" applyFont="1">
      <alignment horizontal="right" vertical="bottom"/>
    </xf>
    <xf borderId="14" fillId="2" fontId="3" numFmtId="0" xfId="0" applyAlignment="1" applyBorder="1" applyFont="1">
      <alignment horizontal="right" readingOrder="0" vertical="bottom"/>
    </xf>
    <xf borderId="4" fillId="2" fontId="3" numFmtId="0" xfId="0" applyAlignment="1" applyBorder="1" applyFont="1">
      <alignment horizontal="right" vertical="bottom"/>
    </xf>
    <xf borderId="15" fillId="2" fontId="3" numFmtId="0" xfId="0" applyAlignment="1" applyBorder="1" applyFont="1">
      <alignment horizontal="right" vertical="bottom"/>
    </xf>
    <xf borderId="16" fillId="2" fontId="3" numFmtId="0" xfId="0" applyAlignment="1" applyBorder="1" applyFont="1">
      <alignment horizontal="right" vertical="bottom"/>
    </xf>
    <xf borderId="16" fillId="3" fontId="3" numFmtId="0" xfId="0" applyAlignment="1" applyBorder="1" applyFont="1">
      <alignment horizontal="right" readingOrder="0" vertical="bottom"/>
    </xf>
    <xf borderId="17" fillId="2" fontId="3" numFmtId="0" xfId="0" applyAlignment="1" applyBorder="1" applyFont="1">
      <alignment horizontal="right" vertical="bottom"/>
    </xf>
    <xf borderId="0" fillId="5" fontId="3" numFmtId="0" xfId="0" applyAlignment="1" applyFill="1" applyFont="1">
      <alignment horizontal="right" vertical="bottom"/>
    </xf>
    <xf borderId="0" fillId="5" fontId="2" numFmtId="0" xfId="0" applyAlignment="1" applyFont="1">
      <alignment horizontal="right" vertical="bottom"/>
    </xf>
    <xf borderId="0" fillId="5" fontId="3" numFmtId="0" xfId="0" applyAlignment="1" applyFont="1">
      <alignment horizontal="center" vertical="bottom"/>
    </xf>
    <xf borderId="0" fillId="0" fontId="2" numFmtId="0" xfId="0" applyAlignment="1" applyFont="1">
      <alignment horizontal="right" vertical="bottom"/>
    </xf>
    <xf borderId="16" fillId="3" fontId="3" numFmtId="0" xfId="0" applyAlignment="1" applyBorder="1" applyFont="1">
      <alignment horizontal="right" vertical="bottom"/>
    </xf>
    <xf borderId="12" fillId="3" fontId="3" numFmtId="0" xfId="0" applyAlignment="1" applyBorder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38"/>
    <col customWidth="1" min="4" max="4" width="16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/>
      <c r="I1" s="3"/>
      <c r="J1" s="3"/>
      <c r="K1" s="3"/>
      <c r="L1" s="3"/>
      <c r="M1" s="3"/>
      <c r="N1" s="3"/>
      <c r="O1" s="2" t="s">
        <v>7</v>
      </c>
      <c r="P1" s="3"/>
    </row>
    <row r="2">
      <c r="A2" s="4">
        <v>1.0</v>
      </c>
      <c r="B2" s="5">
        <v>1.0</v>
      </c>
      <c r="C2" s="6">
        <v>0.96</v>
      </c>
      <c r="D2" s="7">
        <v>9.0</v>
      </c>
      <c r="E2" s="8">
        <v>0.0</v>
      </c>
      <c r="F2" s="9">
        <v>0.001</v>
      </c>
      <c r="G2" s="10">
        <v>0.15</v>
      </c>
      <c r="H2" s="3"/>
      <c r="I2" s="3"/>
      <c r="J2" s="3"/>
      <c r="K2" s="3"/>
      <c r="L2" s="3"/>
      <c r="M2" s="3"/>
      <c r="N2" s="3"/>
      <c r="O2" s="11">
        <f t="shared" ref="O2:O27" si="1">C2*EXP( -G2 * ($L$4 - $L$3)^2 )</f>
        <v>0.9542572455</v>
      </c>
      <c r="P2" s="3"/>
    </row>
    <row r="3">
      <c r="A3" s="4">
        <v>1.0</v>
      </c>
      <c r="B3" s="5">
        <v>1.0</v>
      </c>
      <c r="C3" s="6">
        <v>0.96</v>
      </c>
      <c r="D3" s="7">
        <v>9.0</v>
      </c>
      <c r="E3" s="8">
        <v>4800.0</v>
      </c>
      <c r="F3" s="9">
        <v>0.003</v>
      </c>
      <c r="G3" s="10">
        <v>0.15</v>
      </c>
      <c r="H3" s="12" t="s">
        <v>8</v>
      </c>
      <c r="I3" s="13">
        <v>10000.0</v>
      </c>
      <c r="J3" s="3"/>
      <c r="K3" s="14" t="s">
        <v>9</v>
      </c>
      <c r="L3" s="14">
        <v>1.0</v>
      </c>
      <c r="M3" s="3"/>
      <c r="N3" s="3"/>
      <c r="O3" s="11">
        <f t="shared" si="1"/>
        <v>0.9542572455</v>
      </c>
      <c r="P3" s="3"/>
    </row>
    <row r="4">
      <c r="A4" s="4">
        <v>1.0</v>
      </c>
      <c r="B4" s="5">
        <v>1.0</v>
      </c>
      <c r="C4" s="6">
        <v>0.96</v>
      </c>
      <c r="D4" s="7">
        <v>9.0</v>
      </c>
      <c r="E4" s="8">
        <v>9600.0</v>
      </c>
      <c r="F4" s="9">
        <v>0.005</v>
      </c>
      <c r="G4" s="10">
        <v>0.15</v>
      </c>
      <c r="H4" s="15" t="s">
        <v>10</v>
      </c>
      <c r="I4" s="16">
        <v>0.474</v>
      </c>
      <c r="J4" s="3"/>
      <c r="K4" s="17" t="s">
        <v>11</v>
      </c>
      <c r="L4" s="17">
        <v>0.8</v>
      </c>
      <c r="M4" s="3"/>
      <c r="N4" s="3"/>
      <c r="O4" s="11">
        <f t="shared" si="1"/>
        <v>0.9542572455</v>
      </c>
      <c r="P4" s="3"/>
    </row>
    <row r="5">
      <c r="A5" s="4">
        <v>1.0</v>
      </c>
      <c r="B5" s="5">
        <v>1.0</v>
      </c>
      <c r="C5" s="6">
        <v>0.96</v>
      </c>
      <c r="D5" s="7">
        <v>9.0</v>
      </c>
      <c r="E5" s="1">
        <v>14400.0</v>
      </c>
      <c r="F5" s="9">
        <v>0.007</v>
      </c>
      <c r="G5" s="10">
        <v>0.15</v>
      </c>
      <c r="H5" s="3"/>
      <c r="I5" s="3"/>
      <c r="J5" s="3"/>
      <c r="K5" s="3"/>
      <c r="L5" s="3"/>
      <c r="M5" s="3"/>
      <c r="N5" s="3"/>
      <c r="O5" s="11">
        <f t="shared" si="1"/>
        <v>0.9542572455</v>
      </c>
      <c r="P5" s="3"/>
    </row>
    <row r="6">
      <c r="A6" s="4">
        <v>1.0</v>
      </c>
      <c r="B6" s="5">
        <v>1.0</v>
      </c>
      <c r="C6" s="6">
        <v>0.96</v>
      </c>
      <c r="D6" s="7">
        <v>9.0</v>
      </c>
      <c r="E6" s="8">
        <v>19200.0</v>
      </c>
      <c r="F6" s="9">
        <v>0.012</v>
      </c>
      <c r="G6" s="10">
        <v>0.15</v>
      </c>
      <c r="H6" s="18" t="s">
        <v>12</v>
      </c>
      <c r="I6" s="3"/>
      <c r="J6" s="3"/>
      <c r="K6" s="3"/>
      <c r="L6" s="18" t="s">
        <v>13</v>
      </c>
      <c r="M6" s="3"/>
      <c r="N6" s="3"/>
      <c r="O6" s="11">
        <f t="shared" si="1"/>
        <v>0.9542572455</v>
      </c>
      <c r="P6" s="3"/>
    </row>
    <row r="7">
      <c r="A7" s="19">
        <v>1.0</v>
      </c>
      <c r="B7" s="20">
        <v>1.0</v>
      </c>
      <c r="C7" s="21">
        <v>0.96</v>
      </c>
      <c r="D7" s="7">
        <v>9.0</v>
      </c>
      <c r="E7" s="22">
        <v>24000.0</v>
      </c>
      <c r="F7" s="23">
        <v>0.972</v>
      </c>
      <c r="G7" s="10">
        <v>0.15</v>
      </c>
      <c r="H7" s="3"/>
      <c r="I7" s="24" t="s">
        <v>14</v>
      </c>
      <c r="J7" s="24" t="s">
        <v>15</v>
      </c>
      <c r="K7" s="3"/>
      <c r="L7" s="3"/>
      <c r="M7" s="25" t="s">
        <v>16</v>
      </c>
      <c r="N7" s="25" t="s">
        <v>17</v>
      </c>
      <c r="O7" s="11">
        <f t="shared" si="1"/>
        <v>0.9542572455</v>
      </c>
      <c r="P7" s="3"/>
    </row>
    <row r="8">
      <c r="A8" s="26">
        <v>2.0</v>
      </c>
      <c r="B8" s="27">
        <v>1.0</v>
      </c>
      <c r="C8" s="28">
        <v>0.95</v>
      </c>
      <c r="D8" s="7">
        <v>12.0</v>
      </c>
      <c r="E8" s="27">
        <v>0.0</v>
      </c>
      <c r="F8" s="29">
        <v>0.001</v>
      </c>
      <c r="G8" s="10">
        <v>0.3</v>
      </c>
      <c r="H8" s="30" t="s">
        <v>18</v>
      </c>
      <c r="I8" s="30">
        <f>I9/C2</f>
        <v>12930.71755</v>
      </c>
      <c r="J8" s="30">
        <f t="shared" ref="J8:J12" si="2">roundup(I8,0)</f>
        <v>12931</v>
      </c>
      <c r="K8" s="3"/>
      <c r="L8" s="30" t="s">
        <v>19</v>
      </c>
      <c r="M8" s="30">
        <f>D2</f>
        <v>9</v>
      </c>
      <c r="N8" s="30">
        <f t="shared" ref="N8:N12" si="3">M8*$I$4</f>
        <v>4.266</v>
      </c>
      <c r="O8" s="11">
        <f t="shared" si="1"/>
        <v>0.9386681272</v>
      </c>
      <c r="P8" s="3"/>
    </row>
    <row r="9">
      <c r="A9" s="4">
        <v>2.0</v>
      </c>
      <c r="B9" s="5">
        <v>1.0</v>
      </c>
      <c r="C9" s="28">
        <v>0.95</v>
      </c>
      <c r="D9" s="7">
        <v>12.0</v>
      </c>
      <c r="E9" s="8">
        <v>5750.0</v>
      </c>
      <c r="F9" s="9">
        <v>0.001</v>
      </c>
      <c r="G9" s="10">
        <v>0.3</v>
      </c>
      <c r="H9" s="30" t="s">
        <v>20</v>
      </c>
      <c r="I9" s="30">
        <f>I10/C8</f>
        <v>12413.48884</v>
      </c>
      <c r="J9" s="30">
        <f t="shared" si="2"/>
        <v>12414</v>
      </c>
      <c r="K9" s="3"/>
      <c r="L9" s="30" t="s">
        <v>21</v>
      </c>
      <c r="M9" s="30">
        <f>D8</f>
        <v>12</v>
      </c>
      <c r="N9" s="30">
        <f t="shared" si="3"/>
        <v>5.688</v>
      </c>
      <c r="O9" s="11">
        <f t="shared" si="1"/>
        <v>0.9386681272</v>
      </c>
      <c r="P9" s="3"/>
    </row>
    <row r="10">
      <c r="A10" s="4">
        <v>2.0</v>
      </c>
      <c r="B10" s="5">
        <v>1.0</v>
      </c>
      <c r="C10" s="28">
        <v>0.95</v>
      </c>
      <c r="D10" s="7">
        <v>12.0</v>
      </c>
      <c r="E10" s="8">
        <v>11500.0</v>
      </c>
      <c r="F10" s="9">
        <v>0.004</v>
      </c>
      <c r="G10" s="10">
        <v>0.3</v>
      </c>
      <c r="H10" s="30" t="s">
        <v>22</v>
      </c>
      <c r="I10" s="30">
        <f>I11/C13</f>
        <v>11792.8144</v>
      </c>
      <c r="J10" s="30">
        <f t="shared" si="2"/>
        <v>11793</v>
      </c>
      <c r="K10" s="3"/>
      <c r="L10" s="30" t="s">
        <v>23</v>
      </c>
      <c r="M10" s="30">
        <f>D13</f>
        <v>7</v>
      </c>
      <c r="N10" s="30">
        <f t="shared" si="3"/>
        <v>3.318</v>
      </c>
      <c r="O10" s="11">
        <f t="shared" si="1"/>
        <v>0.9386681272</v>
      </c>
      <c r="P10" s="3"/>
    </row>
    <row r="11">
      <c r="A11" s="4">
        <v>2.0</v>
      </c>
      <c r="B11" s="5">
        <v>1.0</v>
      </c>
      <c r="C11" s="28">
        <v>0.95</v>
      </c>
      <c r="D11" s="7">
        <v>12.0</v>
      </c>
      <c r="E11" s="8">
        <v>17250.0</v>
      </c>
      <c r="F11" s="9">
        <v>0.005</v>
      </c>
      <c r="G11" s="10">
        <v>0.3</v>
      </c>
      <c r="H11" s="30" t="s">
        <v>24</v>
      </c>
      <c r="I11" s="30">
        <f>I12/C19</f>
        <v>11085.24554</v>
      </c>
      <c r="J11" s="30">
        <f t="shared" si="2"/>
        <v>11086</v>
      </c>
      <c r="K11" s="3"/>
      <c r="L11" s="30" t="s">
        <v>25</v>
      </c>
      <c r="M11" s="30">
        <f>D19</f>
        <v>6</v>
      </c>
      <c r="N11" s="30">
        <f t="shared" si="3"/>
        <v>2.844</v>
      </c>
      <c r="O11" s="11">
        <f t="shared" si="1"/>
        <v>0.9386681272</v>
      </c>
      <c r="P11" s="3"/>
    </row>
    <row r="12">
      <c r="A12" s="31">
        <v>2.0</v>
      </c>
      <c r="B12" s="32">
        <v>1.0</v>
      </c>
      <c r="C12" s="28">
        <v>0.95</v>
      </c>
      <c r="D12" s="7">
        <v>12.0</v>
      </c>
      <c r="E12" s="33">
        <v>23000.0</v>
      </c>
      <c r="F12" s="34">
        <v>0.989</v>
      </c>
      <c r="G12" s="10">
        <v>0.3</v>
      </c>
      <c r="H12" s="30" t="s">
        <v>26</v>
      </c>
      <c r="I12" s="30">
        <f>I3/C24</f>
        <v>10309.27835</v>
      </c>
      <c r="J12" s="30">
        <f t="shared" si="2"/>
        <v>10310</v>
      </c>
      <c r="K12" s="3"/>
      <c r="L12" s="30" t="s">
        <v>27</v>
      </c>
      <c r="M12" s="30">
        <f>D24</f>
        <v>4</v>
      </c>
      <c r="N12" s="30">
        <f t="shared" si="3"/>
        <v>1.896</v>
      </c>
      <c r="O12" s="11">
        <f t="shared" si="1"/>
        <v>0.9386681272</v>
      </c>
      <c r="P12" s="3"/>
    </row>
    <row r="13">
      <c r="A13" s="35">
        <v>3.0</v>
      </c>
      <c r="B13" s="36">
        <v>1.0</v>
      </c>
      <c r="C13" s="37">
        <v>0.94</v>
      </c>
      <c r="D13" s="7">
        <v>7.0</v>
      </c>
      <c r="E13" s="36">
        <v>0.0</v>
      </c>
      <c r="F13" s="38">
        <v>0.001</v>
      </c>
      <c r="G13" s="10">
        <v>0.4</v>
      </c>
      <c r="H13" s="3"/>
      <c r="I13" s="3"/>
      <c r="J13" s="3"/>
      <c r="K13" s="3"/>
      <c r="L13" s="30" t="s">
        <v>28</v>
      </c>
      <c r="M13" s="30">
        <f t="shared" ref="M13:N13" si="4">sum(M8:M12)</f>
        <v>38</v>
      </c>
      <c r="N13" s="39">
        <f t="shared" si="4"/>
        <v>18.012</v>
      </c>
      <c r="O13" s="11">
        <f t="shared" si="1"/>
        <v>0.9250796809</v>
      </c>
      <c r="P13" s="3"/>
    </row>
    <row r="14">
      <c r="A14" s="4">
        <v>3.0</v>
      </c>
      <c r="B14" s="5">
        <v>1.0</v>
      </c>
      <c r="C14" s="7">
        <v>0.94</v>
      </c>
      <c r="D14" s="7">
        <v>7.0</v>
      </c>
      <c r="E14" s="8">
        <v>4400.0</v>
      </c>
      <c r="F14" s="9">
        <v>0.003</v>
      </c>
      <c r="G14" s="10">
        <v>0.4</v>
      </c>
      <c r="H14" s="25" t="s">
        <v>29</v>
      </c>
      <c r="I14" s="3"/>
      <c r="J14" s="3"/>
      <c r="K14" s="3"/>
      <c r="L14" s="3"/>
      <c r="M14" s="3"/>
      <c r="N14" s="3"/>
      <c r="O14" s="11">
        <f t="shared" si="1"/>
        <v>0.9250796809</v>
      </c>
      <c r="P14" s="3"/>
    </row>
    <row r="15">
      <c r="A15" s="4">
        <v>3.0</v>
      </c>
      <c r="B15" s="5">
        <v>1.0</v>
      </c>
      <c r="C15" s="7">
        <v>0.94</v>
      </c>
      <c r="D15" s="7">
        <v>7.0</v>
      </c>
      <c r="E15" s="8">
        <v>8800.0</v>
      </c>
      <c r="F15" s="9">
        <v>0.003</v>
      </c>
      <c r="G15" s="10">
        <v>0.4</v>
      </c>
      <c r="H15" s="40">
        <f>IFERROR(__xludf.DUMMYFUNCTION("IFERROR(
  MIN( FILTER(E2:E7, E2:E7&gt;= J8) ),
  ""無符合條件""
)"),14400.0)</f>
        <v>14400</v>
      </c>
      <c r="I15" s="40">
        <f>IFERROR(__xludf.DUMMYFUNCTION("IFERROR(
  MIN( FILTER(E8:E12, E8:E12&gt;= J9) ),
  ""無符合條件""
)"),17250.0)</f>
        <v>17250</v>
      </c>
      <c r="J15" s="40">
        <f>IFERROR(__xludf.DUMMYFUNCTION("IFERROR(
  MIN( FILTER(E13:E18, E13:E18&gt;= J10) ),
  ""無符合條件""
)"),13200.0)</f>
        <v>13200</v>
      </c>
      <c r="K15" s="40">
        <f>IFERROR(__xludf.DUMMYFUNCTION("IFERROR(
  MIN( FILTER(E19:E23, E19:E23&gt;= J11) ),
  ""無符合條件""
)"),15750.0)</f>
        <v>15750</v>
      </c>
      <c r="L15" s="40">
        <f>IFERROR(__xludf.DUMMYFUNCTION("IFERROR(
  MIN( FILTER(E24:E27, E24:E27&gt;= J12) ),
  ""無符合條件""
)"),17000.0)</f>
        <v>17000</v>
      </c>
      <c r="M15" s="3"/>
      <c r="N15" s="3"/>
      <c r="O15" s="11">
        <f t="shared" si="1"/>
        <v>0.9250796809</v>
      </c>
      <c r="P15" s="3"/>
    </row>
    <row r="16">
      <c r="A16" s="4">
        <v>3.0</v>
      </c>
      <c r="B16" s="5">
        <v>1.0</v>
      </c>
      <c r="C16" s="7">
        <v>0.94</v>
      </c>
      <c r="D16" s="7">
        <v>7.0</v>
      </c>
      <c r="E16" s="8">
        <v>13200.0</v>
      </c>
      <c r="F16" s="9">
        <v>0.005</v>
      </c>
      <c r="G16" s="10">
        <v>0.4</v>
      </c>
      <c r="H16" s="3"/>
      <c r="I16" s="3"/>
      <c r="J16" s="3"/>
      <c r="K16" s="3"/>
      <c r="L16" s="3"/>
      <c r="M16" s="3"/>
      <c r="N16" s="3"/>
      <c r="O16" s="11">
        <f t="shared" si="1"/>
        <v>0.9250796809</v>
      </c>
      <c r="P16" s="3"/>
    </row>
    <row r="17">
      <c r="A17" s="4">
        <v>3.0</v>
      </c>
      <c r="B17" s="5">
        <v>1.0</v>
      </c>
      <c r="C17" s="7">
        <v>0.94</v>
      </c>
      <c r="D17" s="7">
        <v>7.0</v>
      </c>
      <c r="E17" s="8">
        <v>17600.0</v>
      </c>
      <c r="F17" s="9">
        <v>0.007</v>
      </c>
      <c r="G17" s="10">
        <v>0.4</v>
      </c>
      <c r="H17" s="18" t="s">
        <v>30</v>
      </c>
      <c r="I17" s="3"/>
      <c r="J17" s="3"/>
      <c r="K17" s="3"/>
      <c r="L17" s="3"/>
      <c r="M17" s="3"/>
      <c r="N17" s="3"/>
      <c r="O17" s="11">
        <f t="shared" si="1"/>
        <v>0.9250796809</v>
      </c>
      <c r="P17" s="3"/>
    </row>
    <row r="18">
      <c r="A18" s="31">
        <v>3.0</v>
      </c>
      <c r="B18" s="32">
        <v>1.0</v>
      </c>
      <c r="C18" s="7">
        <v>0.94</v>
      </c>
      <c r="D18" s="7">
        <v>7.0</v>
      </c>
      <c r="E18" s="33">
        <v>22000.0</v>
      </c>
      <c r="F18" s="34">
        <v>0.981</v>
      </c>
      <c r="G18" s="10">
        <v>0.4</v>
      </c>
      <c r="H18" s="30" t="s">
        <v>31</v>
      </c>
      <c r="I18" s="41">
        <f>IFS(J8=0, F2,
    AND(J8&gt;=1, J8&lt;=E3), SUM(F3:F7),
    AND(J8&gt;=E3+1,J8&lt;=E4), SUM(F4:F7),
    AND(J8&gt;=E4+1, J8&lt;=E5), SUM(F5:F7),
    AND(J8&gt;=E5+1, J8&lt;=E6), SUM(F6:F7),
    AND(J8&gt;=E6+1, J8&lt;=E7), F7,
    J8&gt;E7, "無法計算"
)*IFS(J9=0, F8,
    AND(J9&gt;=1, J9&lt;=E9), SUM(F9:F12),
    AND(J9&gt;=E9+1, J9&lt;=E10), SUM(F10:F12),
    AND(J9&gt;=E10+1, J9&lt;=E11), SUM(F11:F12),
    AND(J9&gt;=E11+1, J9&lt;=E12), F12,
    J9&gt;E12, "無法計算"
)*IFS(J10=0, F13,
    AND(J10&gt;=1, J10&lt;=E14), SUM(F14:F18),
    AND(J10&gt;=E14+1, J10&lt;=E15), SUM(F15:F18),
    AND(J10&gt;=E15+1, J10&lt;=E16), SUM(F16:F18),
    AND(J10&gt;=E16+1, J10&lt;=E17), SUM(F17:F18),
    AND(J10&gt;=E17+1, J10&lt;=E18), F18,
    J10&gt;E18, "無法計算"
)*IFS(J11=0, F19,
    AND(J11&gt;=1, J11&lt;=E20), SUM(F20:F23),
    AND(J11&gt;=E20+1, J11&lt;=E21), SUM(F21:F23),
    AND(J11&gt;=E21+1, J11&lt;=E22), SUM(F22:F23),
    AND(J11&gt;=E22+1, J11&lt;=E23), F23,
    J11&gt;E23, "無法計算"
)*IFS(J12=0, F24,
    AND(J12&gt;=1, J12&lt;=E25), SUM(F25:F27),
    AND(J12&gt;=E25+1, J12&lt;=E26), SUM(F26:F27),
    AND(J12&gt;=E26+1, J12&lt;=E27), F27,
    J12&gt;E27, "無法計算"
)</f>
        <v>0.9615592702</v>
      </c>
      <c r="J18" s="3"/>
      <c r="K18" s="3"/>
      <c r="L18" s="3"/>
      <c r="M18" s="3"/>
      <c r="N18" s="3"/>
      <c r="O18" s="11">
        <f t="shared" si="1"/>
        <v>0.9250796809</v>
      </c>
      <c r="P18" s="3"/>
    </row>
    <row r="19">
      <c r="A19" s="35">
        <v>4.0</v>
      </c>
      <c r="B19" s="36">
        <v>1.0</v>
      </c>
      <c r="C19" s="7">
        <v>0.93</v>
      </c>
      <c r="D19" s="7">
        <v>6.0</v>
      </c>
      <c r="E19" s="36">
        <v>0.0</v>
      </c>
      <c r="F19" s="38">
        <v>0.003</v>
      </c>
      <c r="G19" s="10">
        <v>0.5</v>
      </c>
      <c r="H19" s="3"/>
      <c r="I19" s="3"/>
      <c r="J19" s="3"/>
      <c r="K19" s="3"/>
      <c r="L19" s="3"/>
      <c r="M19" s="3"/>
      <c r="N19" s="3"/>
      <c r="O19" s="11">
        <f t="shared" si="1"/>
        <v>0.9115847662</v>
      </c>
      <c r="P19" s="3"/>
    </row>
    <row r="20">
      <c r="A20" s="4">
        <v>4.0</v>
      </c>
      <c r="B20" s="5">
        <v>1.0</v>
      </c>
      <c r="C20" s="7">
        <v>0.93</v>
      </c>
      <c r="D20" s="7">
        <v>6.0</v>
      </c>
      <c r="E20" s="8">
        <v>5250.0</v>
      </c>
      <c r="F20" s="9">
        <v>0.005</v>
      </c>
      <c r="G20" s="10">
        <v>0.5</v>
      </c>
      <c r="H20" s="18" t="s">
        <v>32</v>
      </c>
      <c r="I20" s="3" t="s">
        <v>33</v>
      </c>
      <c r="J20" s="3"/>
      <c r="K20" s="3"/>
      <c r="L20" s="3"/>
      <c r="M20" s="3"/>
      <c r="N20" s="3"/>
      <c r="O20" s="11">
        <f t="shared" si="1"/>
        <v>0.9115847662</v>
      </c>
      <c r="P20" s="3"/>
    </row>
    <row r="21">
      <c r="A21" s="4">
        <v>4.0</v>
      </c>
      <c r="B21" s="5">
        <v>1.0</v>
      </c>
      <c r="C21" s="7">
        <v>0.93</v>
      </c>
      <c r="D21" s="7">
        <v>6.0</v>
      </c>
      <c r="E21" s="8">
        <v>10500.0</v>
      </c>
      <c r="F21" s="9">
        <v>0.007</v>
      </c>
      <c r="G21" s="10">
        <v>0.5</v>
      </c>
      <c r="H21" s="30" t="s">
        <v>19</v>
      </c>
      <c r="I21" s="42">
        <f>I8*(1-O2)</f>
        <v>591.4866383</v>
      </c>
      <c r="J21" s="3"/>
      <c r="K21" s="3"/>
      <c r="L21" s="3"/>
      <c r="M21" s="3"/>
      <c r="N21" s="3"/>
      <c r="O21" s="11">
        <f t="shared" si="1"/>
        <v>0.9115847662</v>
      </c>
      <c r="P21" s="3"/>
    </row>
    <row r="22">
      <c r="A22" s="4">
        <v>4.0</v>
      </c>
      <c r="B22" s="5">
        <v>1.0</v>
      </c>
      <c r="C22" s="7">
        <v>0.93</v>
      </c>
      <c r="D22" s="7">
        <v>6.0</v>
      </c>
      <c r="E22" s="8">
        <v>15750.0</v>
      </c>
      <c r="F22" s="9">
        <v>0.01</v>
      </c>
      <c r="G22" s="10">
        <v>0.5</v>
      </c>
      <c r="H22" s="30" t="s">
        <v>21</v>
      </c>
      <c r="I22" s="42">
        <f>I9*(1-O8)</f>
        <v>761.3425186</v>
      </c>
      <c r="J22" s="3"/>
      <c r="K22" s="3"/>
      <c r="L22" s="3"/>
      <c r="M22" s="3"/>
      <c r="N22" s="3"/>
      <c r="O22" s="11">
        <f t="shared" si="1"/>
        <v>0.9115847662</v>
      </c>
      <c r="P22" s="3"/>
    </row>
    <row r="23">
      <c r="A23" s="31">
        <v>4.0</v>
      </c>
      <c r="B23" s="32">
        <v>1.0</v>
      </c>
      <c r="C23" s="28">
        <v>0.93</v>
      </c>
      <c r="D23" s="7">
        <v>6.0</v>
      </c>
      <c r="E23" s="33">
        <v>21000.0</v>
      </c>
      <c r="F23" s="34">
        <v>0.975</v>
      </c>
      <c r="G23" s="10">
        <v>0.5</v>
      </c>
      <c r="H23" s="30" t="s">
        <v>23</v>
      </c>
      <c r="I23" s="42">
        <f>I10*(1-O13)</f>
        <v>883.5214187</v>
      </c>
      <c r="J23" s="3"/>
      <c r="K23" s="3"/>
      <c r="L23" s="3"/>
      <c r="M23" s="3"/>
      <c r="N23" s="3"/>
      <c r="O23" s="11">
        <f t="shared" si="1"/>
        <v>0.9115847662</v>
      </c>
      <c r="P23" s="3"/>
    </row>
    <row r="24">
      <c r="A24" s="35">
        <v>5.0</v>
      </c>
      <c r="B24" s="36">
        <v>1.0</v>
      </c>
      <c r="C24" s="43">
        <v>0.97</v>
      </c>
      <c r="D24" s="7">
        <v>4.0</v>
      </c>
      <c r="E24" s="36">
        <v>0.0</v>
      </c>
      <c r="F24" s="38">
        <v>0.001</v>
      </c>
      <c r="G24" s="10">
        <v>0.05</v>
      </c>
      <c r="H24" s="30" t="s">
        <v>25</v>
      </c>
      <c r="I24" s="42">
        <f>I11*(1-O19)</f>
        <v>980.1045763</v>
      </c>
      <c r="J24" s="3"/>
      <c r="K24" s="3"/>
      <c r="L24" s="3"/>
      <c r="M24" s="3"/>
      <c r="N24" s="3"/>
      <c r="O24" s="11">
        <f t="shared" si="1"/>
        <v>0.9680619387</v>
      </c>
      <c r="P24" s="3"/>
    </row>
    <row r="25">
      <c r="A25" s="4">
        <v>5.0</v>
      </c>
      <c r="B25" s="5">
        <v>1.0</v>
      </c>
      <c r="C25" s="6">
        <v>0.97</v>
      </c>
      <c r="D25" s="7">
        <v>4.0</v>
      </c>
      <c r="E25" s="8">
        <v>8500.0</v>
      </c>
      <c r="F25" s="9">
        <v>0.001</v>
      </c>
      <c r="G25" s="10">
        <v>0.05</v>
      </c>
      <c r="H25" s="30" t="s">
        <v>27</v>
      </c>
      <c r="I25" s="42">
        <f>I12*(1-O24)</f>
        <v>329.2583638</v>
      </c>
      <c r="J25" s="3"/>
      <c r="K25" s="3"/>
      <c r="L25" s="3"/>
      <c r="M25" s="3"/>
      <c r="N25" s="3"/>
      <c r="O25" s="11">
        <f t="shared" si="1"/>
        <v>0.9680619387</v>
      </c>
      <c r="P25" s="3"/>
    </row>
    <row r="26">
      <c r="A26" s="4">
        <v>5.0</v>
      </c>
      <c r="B26" s="5">
        <v>1.0</v>
      </c>
      <c r="C26" s="6">
        <v>0.97</v>
      </c>
      <c r="D26" s="7">
        <v>4.0</v>
      </c>
      <c r="E26" s="8">
        <v>17000.0</v>
      </c>
      <c r="F26" s="9">
        <v>0.003</v>
      </c>
      <c r="G26" s="10">
        <v>0.05</v>
      </c>
      <c r="H26" s="30" t="s">
        <v>28</v>
      </c>
      <c r="I26" s="42">
        <f>SUM(I21:I25)</f>
        <v>3545.713516</v>
      </c>
      <c r="J26" s="3"/>
      <c r="K26" s="3"/>
      <c r="L26" s="3"/>
      <c r="M26" s="3"/>
      <c r="N26" s="3"/>
      <c r="O26" s="11">
        <f t="shared" si="1"/>
        <v>0.9680619387</v>
      </c>
      <c r="P26" s="3"/>
    </row>
    <row r="27">
      <c r="A27" s="19">
        <v>5.0</v>
      </c>
      <c r="B27" s="20">
        <v>1.0</v>
      </c>
      <c r="C27" s="21">
        <v>0.97</v>
      </c>
      <c r="D27" s="7">
        <v>4.0</v>
      </c>
      <c r="E27" s="22">
        <v>25500.0</v>
      </c>
      <c r="F27" s="23">
        <v>0.995</v>
      </c>
      <c r="G27" s="10">
        <v>0.05</v>
      </c>
      <c r="H27" s="3"/>
      <c r="I27" s="3"/>
      <c r="J27" s="3"/>
      <c r="K27" s="3"/>
      <c r="L27" s="3"/>
      <c r="M27" s="3"/>
      <c r="N27" s="3"/>
      <c r="O27" s="11">
        <f t="shared" si="1"/>
        <v>0.9680619387</v>
      </c>
      <c r="P27" s="3"/>
    </row>
    <row r="28">
      <c r="G28" s="3"/>
      <c r="H28" s="3"/>
      <c r="I28" s="3"/>
      <c r="J28" s="3"/>
      <c r="K28" s="3"/>
      <c r="L28" s="3"/>
      <c r="M28" s="3"/>
      <c r="N28" s="3"/>
      <c r="O28" s="3"/>
      <c r="P28" s="3"/>
    </row>
    <row r="29">
      <c r="G29" s="3"/>
      <c r="H29" s="3"/>
      <c r="I29" s="3"/>
      <c r="J29" s="3"/>
      <c r="K29" s="3"/>
      <c r="L29" s="3"/>
      <c r="M29" s="3"/>
      <c r="N29" s="3"/>
      <c r="O29" s="3"/>
      <c r="P29" s="3"/>
    </row>
    <row r="30">
      <c r="G30" s="3"/>
      <c r="H30" s="3"/>
      <c r="I30" s="3"/>
      <c r="J30" s="3"/>
      <c r="K30" s="3"/>
      <c r="L30" s="3"/>
      <c r="M30" s="3"/>
      <c r="N30" s="3"/>
      <c r="O30" s="3"/>
      <c r="P30" s="3"/>
    </row>
    <row r="31">
      <c r="G31" s="3"/>
      <c r="H31" s="3"/>
      <c r="I31" s="3"/>
      <c r="J31" s="3"/>
      <c r="K31" s="3"/>
      <c r="L31" s="3"/>
      <c r="M31" s="3"/>
      <c r="N31" s="3"/>
      <c r="O31" s="3"/>
      <c r="P31" s="3"/>
    </row>
    <row r="32">
      <c r="G32" s="3"/>
      <c r="H32" s="3"/>
      <c r="I32" s="3"/>
      <c r="J32" s="3"/>
      <c r="K32" s="3"/>
      <c r="L32" s="3"/>
      <c r="M32" s="3"/>
      <c r="N32" s="3"/>
      <c r="O32" s="3"/>
      <c r="P32" s="3"/>
    </row>
    <row r="33">
      <c r="G33" s="3"/>
      <c r="H33" s="3"/>
      <c r="I33" s="3"/>
      <c r="J33" s="3"/>
      <c r="K33" s="3"/>
      <c r="L33" s="3"/>
      <c r="M33" s="3"/>
      <c r="N33" s="3"/>
      <c r="O33" s="3"/>
      <c r="P33" s="3"/>
    </row>
    <row r="34">
      <c r="G34" s="3"/>
      <c r="H34" s="3"/>
      <c r="I34" s="3"/>
      <c r="J34" s="3"/>
      <c r="K34" s="3"/>
      <c r="L34" s="3"/>
      <c r="M34" s="3"/>
      <c r="N34" s="3"/>
      <c r="O34" s="3"/>
      <c r="P34" s="3"/>
    </row>
    <row r="35">
      <c r="G35" s="3"/>
      <c r="H35" s="3"/>
      <c r="I35" s="3"/>
      <c r="J35" s="3"/>
      <c r="K35" s="3"/>
      <c r="L35" s="3"/>
      <c r="M35" s="3"/>
      <c r="N35" s="3"/>
      <c r="O35" s="3"/>
      <c r="P35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0</v>
      </c>
      <c r="B1" s="3" t="s">
        <v>1</v>
      </c>
      <c r="C1" s="3" t="s">
        <v>2</v>
      </c>
      <c r="D1" s="3" t="s">
        <v>3</v>
      </c>
      <c r="E1" s="1" t="s">
        <v>4</v>
      </c>
      <c r="F1" s="3" t="s">
        <v>5</v>
      </c>
      <c r="G1" s="11" t="s">
        <v>6</v>
      </c>
      <c r="H1" s="3"/>
      <c r="I1" s="3"/>
      <c r="J1" s="3"/>
      <c r="K1" s="3"/>
      <c r="L1" s="3"/>
      <c r="M1" s="3"/>
      <c r="N1" s="3"/>
      <c r="O1" s="11" t="s">
        <v>7</v>
      </c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>
        <v>1.0</v>
      </c>
      <c r="B2" s="5">
        <v>1.0</v>
      </c>
      <c r="C2" s="6">
        <v>0.96</v>
      </c>
      <c r="D2" s="6">
        <v>9.0</v>
      </c>
      <c r="E2" s="8">
        <v>0.0</v>
      </c>
      <c r="F2" s="9">
        <v>0.001</v>
      </c>
      <c r="G2" s="10">
        <v>0.15</v>
      </c>
      <c r="H2" s="3"/>
      <c r="I2" s="3"/>
      <c r="J2" s="3"/>
      <c r="K2" s="3"/>
      <c r="L2" s="3"/>
      <c r="M2" s="3"/>
      <c r="N2" s="3"/>
      <c r="O2" s="10">
        <f t="shared" ref="O2:O27" si="1">C2*EXP( -G2 * ($L$4 - $L$3)^2 )</f>
        <v>0.96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>
        <v>1.0</v>
      </c>
      <c r="B3" s="5">
        <v>1.0</v>
      </c>
      <c r="C3" s="6">
        <v>0.96</v>
      </c>
      <c r="D3" s="6">
        <v>9.0</v>
      </c>
      <c r="E3" s="8">
        <v>4800.0</v>
      </c>
      <c r="F3" s="9">
        <v>0.003</v>
      </c>
      <c r="G3" s="10">
        <v>0.15</v>
      </c>
      <c r="H3" s="12" t="s">
        <v>8</v>
      </c>
      <c r="I3" s="13">
        <v>10000.0</v>
      </c>
      <c r="J3" s="3"/>
      <c r="K3" s="3" t="s">
        <v>9</v>
      </c>
      <c r="L3" s="42">
        <v>1.0</v>
      </c>
      <c r="M3" s="3"/>
      <c r="N3" s="3"/>
      <c r="O3" s="10">
        <f t="shared" si="1"/>
        <v>0.96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>
        <v>1.0</v>
      </c>
      <c r="B4" s="5">
        <v>1.0</v>
      </c>
      <c r="C4" s="6">
        <v>0.96</v>
      </c>
      <c r="D4" s="6">
        <v>9.0</v>
      </c>
      <c r="E4" s="8">
        <v>9600.0</v>
      </c>
      <c r="F4" s="9">
        <v>0.005</v>
      </c>
      <c r="G4" s="10">
        <v>0.15</v>
      </c>
      <c r="H4" s="15" t="s">
        <v>10</v>
      </c>
      <c r="I4" s="16">
        <v>0.474</v>
      </c>
      <c r="J4" s="3"/>
      <c r="K4" s="3" t="s">
        <v>11</v>
      </c>
      <c r="L4" s="42">
        <v>1.0</v>
      </c>
      <c r="M4" s="3"/>
      <c r="N4" s="3"/>
      <c r="O4" s="10">
        <f t="shared" si="1"/>
        <v>0.96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>
        <v>1.0</v>
      </c>
      <c r="B5" s="5">
        <v>1.0</v>
      </c>
      <c r="C5" s="6">
        <v>0.96</v>
      </c>
      <c r="D5" s="6">
        <v>9.0</v>
      </c>
      <c r="E5" s="1">
        <v>14400.0</v>
      </c>
      <c r="F5" s="9">
        <v>0.007</v>
      </c>
      <c r="G5" s="10">
        <v>0.15</v>
      </c>
      <c r="H5" s="3"/>
      <c r="I5" s="3"/>
      <c r="J5" s="3"/>
      <c r="K5" s="3"/>
      <c r="L5" s="3"/>
      <c r="M5" s="3"/>
      <c r="N5" s="3"/>
      <c r="O5" s="10">
        <f t="shared" si="1"/>
        <v>0.96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>
        <v>1.0</v>
      </c>
      <c r="B6" s="5">
        <v>1.0</v>
      </c>
      <c r="C6" s="6">
        <v>0.96</v>
      </c>
      <c r="D6" s="6">
        <v>9.0</v>
      </c>
      <c r="E6" s="8">
        <v>19200.0</v>
      </c>
      <c r="F6" s="9">
        <v>0.012</v>
      </c>
      <c r="G6" s="10">
        <v>0.15</v>
      </c>
      <c r="H6" s="18" t="s">
        <v>12</v>
      </c>
      <c r="I6" s="3"/>
      <c r="J6" s="3"/>
      <c r="K6" s="3"/>
      <c r="L6" s="18" t="s">
        <v>13</v>
      </c>
      <c r="M6" s="3"/>
      <c r="N6" s="3"/>
      <c r="O6" s="10">
        <f t="shared" si="1"/>
        <v>0.96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9">
        <v>1.0</v>
      </c>
      <c r="B7" s="20">
        <v>1.0</v>
      </c>
      <c r="C7" s="21">
        <v>0.96</v>
      </c>
      <c r="D7" s="6">
        <v>9.0</v>
      </c>
      <c r="E7" s="22">
        <v>24000.0</v>
      </c>
      <c r="F7" s="23">
        <v>0.972</v>
      </c>
      <c r="G7" s="10">
        <v>0.15</v>
      </c>
      <c r="H7" s="3"/>
      <c r="I7" s="24" t="s">
        <v>14</v>
      </c>
      <c r="J7" s="24" t="s">
        <v>15</v>
      </c>
      <c r="K7" s="3"/>
      <c r="L7" s="3"/>
      <c r="M7" s="25" t="s">
        <v>16</v>
      </c>
      <c r="N7" s="25" t="s">
        <v>17</v>
      </c>
      <c r="O7" s="10">
        <f t="shared" si="1"/>
        <v>0.96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26">
        <v>2.0</v>
      </c>
      <c r="B8" s="27">
        <v>1.0</v>
      </c>
      <c r="C8" s="44">
        <v>0.95</v>
      </c>
      <c r="D8" s="6">
        <v>12.0</v>
      </c>
      <c r="E8" s="27">
        <v>0.0</v>
      </c>
      <c r="F8" s="29">
        <v>0.001</v>
      </c>
      <c r="G8" s="10">
        <v>0.3</v>
      </c>
      <c r="H8" s="30" t="s">
        <v>18</v>
      </c>
      <c r="I8" s="30">
        <f>I9/C2</f>
        <v>12930.71755</v>
      </c>
      <c r="J8" s="30">
        <f t="shared" ref="J8:J12" si="2">roundup(I8,0)</f>
        <v>12931</v>
      </c>
      <c r="K8" s="3"/>
      <c r="L8" s="30" t="s">
        <v>19</v>
      </c>
      <c r="M8" s="30">
        <f>D2</f>
        <v>9</v>
      </c>
      <c r="N8" s="30">
        <f t="shared" ref="N8:N12" si="3">M8*$I$4</f>
        <v>4.266</v>
      </c>
      <c r="O8" s="10">
        <f t="shared" si="1"/>
        <v>0.95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>
        <v>2.0</v>
      </c>
      <c r="B9" s="5">
        <v>1.0</v>
      </c>
      <c r="C9" s="44">
        <v>0.95</v>
      </c>
      <c r="D9" s="6">
        <v>12.0</v>
      </c>
      <c r="E9" s="8">
        <v>5750.0</v>
      </c>
      <c r="F9" s="9">
        <v>0.001</v>
      </c>
      <c r="G9" s="10">
        <v>0.3</v>
      </c>
      <c r="H9" s="30" t="s">
        <v>20</v>
      </c>
      <c r="I9" s="30">
        <f>I10/C8</f>
        <v>12413.48884</v>
      </c>
      <c r="J9" s="30">
        <f t="shared" si="2"/>
        <v>12414</v>
      </c>
      <c r="K9" s="3"/>
      <c r="L9" s="30" t="s">
        <v>21</v>
      </c>
      <c r="M9" s="30">
        <f>D8</f>
        <v>12</v>
      </c>
      <c r="N9" s="30">
        <f t="shared" si="3"/>
        <v>5.688</v>
      </c>
      <c r="O9" s="10">
        <f t="shared" si="1"/>
        <v>0.95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>
        <v>2.0</v>
      </c>
      <c r="B10" s="5">
        <v>1.0</v>
      </c>
      <c r="C10" s="44">
        <v>0.95</v>
      </c>
      <c r="D10" s="6">
        <v>12.0</v>
      </c>
      <c r="E10" s="8">
        <v>11500.0</v>
      </c>
      <c r="F10" s="9">
        <v>0.004</v>
      </c>
      <c r="G10" s="10">
        <v>0.3</v>
      </c>
      <c r="H10" s="30" t="s">
        <v>22</v>
      </c>
      <c r="I10" s="30">
        <f>I11/C13</f>
        <v>11792.8144</v>
      </c>
      <c r="J10" s="30">
        <f t="shared" si="2"/>
        <v>11793</v>
      </c>
      <c r="K10" s="3"/>
      <c r="L10" s="30" t="s">
        <v>23</v>
      </c>
      <c r="M10" s="30">
        <f>D13</f>
        <v>7</v>
      </c>
      <c r="N10" s="30">
        <f t="shared" si="3"/>
        <v>3.318</v>
      </c>
      <c r="O10" s="10">
        <f t="shared" si="1"/>
        <v>0.95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">
        <v>2.0</v>
      </c>
      <c r="B11" s="5">
        <v>1.0</v>
      </c>
      <c r="C11" s="44">
        <v>0.95</v>
      </c>
      <c r="D11" s="6">
        <v>12.0</v>
      </c>
      <c r="E11" s="8">
        <v>17250.0</v>
      </c>
      <c r="F11" s="9">
        <v>0.005</v>
      </c>
      <c r="G11" s="10">
        <v>0.3</v>
      </c>
      <c r="H11" s="30" t="s">
        <v>24</v>
      </c>
      <c r="I11" s="30">
        <f>I12/C19</f>
        <v>11085.24554</v>
      </c>
      <c r="J11" s="30">
        <f t="shared" si="2"/>
        <v>11086</v>
      </c>
      <c r="K11" s="3"/>
      <c r="L11" s="30" t="s">
        <v>25</v>
      </c>
      <c r="M11" s="30">
        <f>D19</f>
        <v>6</v>
      </c>
      <c r="N11" s="30">
        <f t="shared" si="3"/>
        <v>2.844</v>
      </c>
      <c r="O11" s="10">
        <f t="shared" si="1"/>
        <v>0.95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1">
        <v>2.0</v>
      </c>
      <c r="B12" s="32">
        <v>1.0</v>
      </c>
      <c r="C12" s="44">
        <v>0.95</v>
      </c>
      <c r="D12" s="6">
        <v>12.0</v>
      </c>
      <c r="E12" s="33">
        <v>23000.0</v>
      </c>
      <c r="F12" s="34">
        <v>0.989</v>
      </c>
      <c r="G12" s="10">
        <v>0.3</v>
      </c>
      <c r="H12" s="30" t="s">
        <v>26</v>
      </c>
      <c r="I12" s="30">
        <f>I3/C24</f>
        <v>10309.27835</v>
      </c>
      <c r="J12" s="30">
        <f t="shared" si="2"/>
        <v>10310</v>
      </c>
      <c r="K12" s="3"/>
      <c r="L12" s="30" t="s">
        <v>27</v>
      </c>
      <c r="M12" s="30">
        <f>D24</f>
        <v>4</v>
      </c>
      <c r="N12" s="30">
        <f t="shared" si="3"/>
        <v>1.896</v>
      </c>
      <c r="O12" s="10">
        <f t="shared" si="1"/>
        <v>0.95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5">
        <v>3.0</v>
      </c>
      <c r="B13" s="36">
        <v>1.0</v>
      </c>
      <c r="C13" s="43">
        <v>0.94</v>
      </c>
      <c r="D13" s="6">
        <v>7.0</v>
      </c>
      <c r="E13" s="36">
        <v>0.0</v>
      </c>
      <c r="F13" s="38">
        <v>0.001</v>
      </c>
      <c r="G13" s="10">
        <v>0.4</v>
      </c>
      <c r="H13" s="3"/>
      <c r="I13" s="3"/>
      <c r="J13" s="3"/>
      <c r="K13" s="3"/>
      <c r="L13" s="30" t="s">
        <v>28</v>
      </c>
      <c r="M13" s="30">
        <f t="shared" ref="M13:N13" si="4">sum(M8:M12)</f>
        <v>38</v>
      </c>
      <c r="N13" s="39">
        <f t="shared" si="4"/>
        <v>18.012</v>
      </c>
      <c r="O13" s="10">
        <f t="shared" si="1"/>
        <v>0.94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">
        <v>3.0</v>
      </c>
      <c r="B14" s="5">
        <v>1.0</v>
      </c>
      <c r="C14" s="6">
        <v>0.94</v>
      </c>
      <c r="D14" s="6">
        <v>7.0</v>
      </c>
      <c r="E14" s="8">
        <v>4400.0</v>
      </c>
      <c r="F14" s="9">
        <v>0.003</v>
      </c>
      <c r="G14" s="10">
        <v>0.4</v>
      </c>
      <c r="H14" s="25" t="s">
        <v>29</v>
      </c>
      <c r="I14" s="3"/>
      <c r="J14" s="3"/>
      <c r="K14" s="3"/>
      <c r="L14" s="3"/>
      <c r="M14" s="3"/>
      <c r="N14" s="3"/>
      <c r="O14" s="10">
        <f t="shared" si="1"/>
        <v>0.94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4">
        <v>3.0</v>
      </c>
      <c r="B15" s="5">
        <v>1.0</v>
      </c>
      <c r="C15" s="6">
        <v>0.94</v>
      </c>
      <c r="D15" s="6">
        <v>7.0</v>
      </c>
      <c r="E15" s="8">
        <v>8800.0</v>
      </c>
      <c r="F15" s="9">
        <v>0.003</v>
      </c>
      <c r="G15" s="10">
        <v>0.4</v>
      </c>
      <c r="H15" s="40">
        <f>IFERROR(__xludf.DUMMYFUNCTION("IFERROR(
  MIN( FILTER(E2:E7, E2:E7&gt;= J8) ),
  ""無符合條件""
)"),14400.0)</f>
        <v>14400</v>
      </c>
      <c r="I15" s="40">
        <f>IFERROR(__xludf.DUMMYFUNCTION("IFERROR(
  MIN( FILTER(E8:E12, E8:E12&gt;= J9) ),
  ""無符合條件""
)"),17250.0)</f>
        <v>17250</v>
      </c>
      <c r="J15" s="40">
        <f>IFERROR(__xludf.DUMMYFUNCTION("IFERROR(
  MIN( FILTER(E13:E18, E13:E18&gt;= J10) ),
  ""無符合條件""
)"),13200.0)</f>
        <v>13200</v>
      </c>
      <c r="K15" s="40">
        <f>IFERROR(__xludf.DUMMYFUNCTION("IFERROR(
  MIN( FILTER(E19:E23, E19:E23&gt;= J11) ),
  ""無符合條件""
)"),15750.0)</f>
        <v>15750</v>
      </c>
      <c r="L15" s="40">
        <f>IFERROR(__xludf.DUMMYFUNCTION("IFERROR(
  MIN( FILTER(E24:E27, E24:E27&gt;= J12) ),
  ""無符合條件""
)"),17000.0)</f>
        <v>17000</v>
      </c>
      <c r="M15" s="3"/>
      <c r="N15" s="3"/>
      <c r="O15" s="10">
        <f t="shared" si="1"/>
        <v>0.94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">
        <v>3.0</v>
      </c>
      <c r="B16" s="5">
        <v>1.0</v>
      </c>
      <c r="C16" s="6">
        <v>0.94</v>
      </c>
      <c r="D16" s="6">
        <v>7.0</v>
      </c>
      <c r="E16" s="8">
        <v>13200.0</v>
      </c>
      <c r="F16" s="9">
        <v>0.005</v>
      </c>
      <c r="G16" s="10">
        <v>0.4</v>
      </c>
      <c r="H16" s="3"/>
      <c r="I16" s="3"/>
      <c r="J16" s="3"/>
      <c r="K16" s="3"/>
      <c r="L16" s="3"/>
      <c r="M16" s="3"/>
      <c r="N16" s="3"/>
      <c r="O16" s="10">
        <f t="shared" si="1"/>
        <v>0.94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">
        <v>3.0</v>
      </c>
      <c r="B17" s="5">
        <v>1.0</v>
      </c>
      <c r="C17" s="6">
        <v>0.94</v>
      </c>
      <c r="D17" s="6">
        <v>7.0</v>
      </c>
      <c r="E17" s="8">
        <v>17600.0</v>
      </c>
      <c r="F17" s="9">
        <v>0.007</v>
      </c>
      <c r="G17" s="10">
        <v>0.4</v>
      </c>
      <c r="H17" s="18" t="s">
        <v>30</v>
      </c>
      <c r="I17" s="3"/>
      <c r="J17" s="3"/>
      <c r="K17" s="3"/>
      <c r="L17" s="3"/>
      <c r="M17" s="3"/>
      <c r="N17" s="3"/>
      <c r="O17" s="10">
        <f t="shared" si="1"/>
        <v>0.94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1">
        <v>3.0</v>
      </c>
      <c r="B18" s="32">
        <v>1.0</v>
      </c>
      <c r="C18" s="6">
        <v>0.94</v>
      </c>
      <c r="D18" s="6">
        <v>7.0</v>
      </c>
      <c r="E18" s="33">
        <v>22000.0</v>
      </c>
      <c r="F18" s="34">
        <v>0.981</v>
      </c>
      <c r="G18" s="10">
        <v>0.4</v>
      </c>
      <c r="H18" s="30" t="s">
        <v>31</v>
      </c>
      <c r="I18" s="41">
        <f>IFS(J8=0, F2,
    AND(J8&gt;=1, J8&lt;=E3), SUM(F3:F7),
    AND(J8&gt;=E3+1,J8&lt;=E4), SUM(F4:F7),
    AND(J8&gt;=E4+1, J8&lt;=E5), SUM(F5:F7),
    AND(J8&gt;=E5+1, J8&lt;=E6), SUM(F6:F7),
    AND(J8&gt;=E6+1, J8&lt;=E7), F7,
    J8&gt;E7, "無法計算"
)*IFS(J9=0, F8,
    AND(J9&gt;=1, J9&lt;=E9), SUM(F9:F12),
    AND(J9&gt;=E9+1, J9&lt;=E10), SUM(F10:F12),
    AND(J9&gt;=E10+1, J9&lt;=E11), SUM(F11:F12),
    AND(J9&gt;=E11+1, J9&lt;=E12), F12,
    J9&gt;E12, "無法計算"
)*IFS(J10=0, F13,
    AND(J10&gt;=1, J10&lt;=E14), SUM(F14:F18),
    AND(J10&gt;=E14+1, J10&lt;=E15), SUM(F15:F18),
    AND(J10&gt;=E15+1, J10&lt;=E16), SUM(F16:F18),
    AND(J10&gt;=E16+1, J10&lt;=E17), SUM(F17:F18),
    AND(J10&gt;=E17+1, J10&lt;=E18), F18,
    J10&gt;E18, "無法計算"
)*IFS(J11=0, F19,
    AND(J11&gt;=1, J11&lt;=E20), SUM(F20:F23),
    AND(J11&gt;=E20+1, J11&lt;=E21), SUM(F21:F23),
    AND(J11&gt;=E21+1, J11&lt;=E22), SUM(F22:F23),
    AND(J11&gt;=E22+1, J11&lt;=E23), F23,
    J11&gt;E23, "無法計算"
)*IFS(J12=0, F24,
    AND(J12&gt;=1, J12&lt;=E25), SUM(F25:F27),
    AND(J12&gt;=E25+1, J12&lt;=E26), SUM(F26:F27),
    AND(J12&gt;=E26+1, J12&lt;=E27), F27,
    J12&gt;E27, "無法計算"
)</f>
        <v>0.9615592702</v>
      </c>
      <c r="J18" s="3"/>
      <c r="K18" s="3"/>
      <c r="L18" s="3"/>
      <c r="M18" s="3"/>
      <c r="N18" s="3"/>
      <c r="O18" s="10">
        <f t="shared" si="1"/>
        <v>0.94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5">
        <v>4.0</v>
      </c>
      <c r="B19" s="36">
        <v>1.0</v>
      </c>
      <c r="C19" s="6">
        <v>0.93</v>
      </c>
      <c r="D19" s="6">
        <v>6.0</v>
      </c>
      <c r="E19" s="36">
        <v>0.0</v>
      </c>
      <c r="F19" s="38">
        <v>0.003</v>
      </c>
      <c r="G19" s="10">
        <v>0.5</v>
      </c>
      <c r="H19" s="3"/>
      <c r="I19" s="3"/>
      <c r="J19" s="3"/>
      <c r="K19" s="3"/>
      <c r="L19" s="3"/>
      <c r="M19" s="3"/>
      <c r="N19" s="3"/>
      <c r="O19" s="10">
        <f t="shared" si="1"/>
        <v>0.93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4">
        <v>4.0</v>
      </c>
      <c r="B20" s="5">
        <v>1.0</v>
      </c>
      <c r="C20" s="6">
        <v>0.93</v>
      </c>
      <c r="D20" s="6">
        <v>6.0</v>
      </c>
      <c r="E20" s="8">
        <v>5250.0</v>
      </c>
      <c r="F20" s="9">
        <v>0.005</v>
      </c>
      <c r="G20" s="10">
        <v>0.5</v>
      </c>
      <c r="H20" s="18" t="s">
        <v>32</v>
      </c>
      <c r="I20" s="3" t="s">
        <v>33</v>
      </c>
      <c r="J20" s="3"/>
      <c r="K20" s="3"/>
      <c r="L20" s="3"/>
      <c r="M20" s="3"/>
      <c r="N20" s="3"/>
      <c r="O20" s="10">
        <f t="shared" si="1"/>
        <v>0.93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4">
        <v>4.0</v>
      </c>
      <c r="B21" s="5">
        <v>1.0</v>
      </c>
      <c r="C21" s="6">
        <v>0.93</v>
      </c>
      <c r="D21" s="6">
        <v>6.0</v>
      </c>
      <c r="E21" s="8">
        <v>10500.0</v>
      </c>
      <c r="F21" s="9">
        <v>0.007</v>
      </c>
      <c r="G21" s="10">
        <v>0.5</v>
      </c>
      <c r="H21" s="30" t="s">
        <v>19</v>
      </c>
      <c r="I21" s="42">
        <f>I8*(1-O2)</f>
        <v>517.2287019</v>
      </c>
      <c r="J21" s="3"/>
      <c r="K21" s="3"/>
      <c r="L21" s="3"/>
      <c r="M21" s="3"/>
      <c r="N21" s="3"/>
      <c r="O21" s="10">
        <f t="shared" si="1"/>
        <v>0.93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4">
        <v>4.0</v>
      </c>
      <c r="B22" s="5">
        <v>1.0</v>
      </c>
      <c r="C22" s="6">
        <v>0.93</v>
      </c>
      <c r="D22" s="6">
        <v>6.0</v>
      </c>
      <c r="E22" s="8">
        <v>15750.0</v>
      </c>
      <c r="F22" s="9">
        <v>0.01</v>
      </c>
      <c r="G22" s="10">
        <v>0.5</v>
      </c>
      <c r="H22" s="30" t="s">
        <v>21</v>
      </c>
      <c r="I22" s="42">
        <f>I9*(1-O8)</f>
        <v>620.6744422</v>
      </c>
      <c r="J22" s="3"/>
      <c r="K22" s="3"/>
      <c r="L22" s="3"/>
      <c r="M22" s="3"/>
      <c r="N22" s="3"/>
      <c r="O22" s="10">
        <f t="shared" si="1"/>
        <v>0.93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1">
        <v>4.0</v>
      </c>
      <c r="B23" s="32">
        <v>1.0</v>
      </c>
      <c r="C23" s="44">
        <v>0.93</v>
      </c>
      <c r="D23" s="6">
        <v>6.0</v>
      </c>
      <c r="E23" s="33">
        <v>21000.0</v>
      </c>
      <c r="F23" s="34">
        <v>0.975</v>
      </c>
      <c r="G23" s="10">
        <v>0.5</v>
      </c>
      <c r="H23" s="30" t="s">
        <v>23</v>
      </c>
      <c r="I23" s="42">
        <f>I10*(1-O13)</f>
        <v>707.5688641</v>
      </c>
      <c r="J23" s="3"/>
      <c r="K23" s="3"/>
      <c r="L23" s="3"/>
      <c r="M23" s="3"/>
      <c r="N23" s="3"/>
      <c r="O23" s="10">
        <f t="shared" si="1"/>
        <v>0.93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5">
        <v>5.0</v>
      </c>
      <c r="B24" s="36">
        <v>1.0</v>
      </c>
      <c r="C24" s="43">
        <v>0.97</v>
      </c>
      <c r="D24" s="6">
        <v>4.0</v>
      </c>
      <c r="E24" s="36">
        <v>0.0</v>
      </c>
      <c r="F24" s="38">
        <v>0.001</v>
      </c>
      <c r="G24" s="10">
        <v>0.05</v>
      </c>
      <c r="H24" s="30" t="s">
        <v>25</v>
      </c>
      <c r="I24" s="42">
        <f>I11*(1-O19)</f>
        <v>775.9671877</v>
      </c>
      <c r="J24" s="3"/>
      <c r="K24" s="3"/>
      <c r="L24" s="3"/>
      <c r="M24" s="3"/>
      <c r="N24" s="3"/>
      <c r="O24" s="10">
        <f t="shared" si="1"/>
        <v>0.97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4">
        <v>5.0</v>
      </c>
      <c r="B25" s="5">
        <v>1.0</v>
      </c>
      <c r="C25" s="6">
        <v>0.97</v>
      </c>
      <c r="D25" s="6">
        <v>4.0</v>
      </c>
      <c r="E25" s="8">
        <v>8500.0</v>
      </c>
      <c r="F25" s="9">
        <v>0.001</v>
      </c>
      <c r="G25" s="10">
        <v>0.05</v>
      </c>
      <c r="H25" s="30" t="s">
        <v>27</v>
      </c>
      <c r="I25" s="42">
        <f>I12*(1-O24)</f>
        <v>309.2783505</v>
      </c>
      <c r="J25" s="3"/>
      <c r="K25" s="3"/>
      <c r="L25" s="3"/>
      <c r="M25" s="3"/>
      <c r="N25" s="3"/>
      <c r="O25" s="10">
        <f t="shared" si="1"/>
        <v>0.97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>
        <v>5.0</v>
      </c>
      <c r="B26" s="5">
        <v>1.0</v>
      </c>
      <c r="C26" s="6">
        <v>0.97</v>
      </c>
      <c r="D26" s="6">
        <v>4.0</v>
      </c>
      <c r="E26" s="8">
        <v>17000.0</v>
      </c>
      <c r="F26" s="9">
        <v>0.003</v>
      </c>
      <c r="G26" s="10">
        <v>0.05</v>
      </c>
      <c r="H26" s="30" t="s">
        <v>28</v>
      </c>
      <c r="I26" s="42">
        <f>SUM(I21:I25)</f>
        <v>2930.717546</v>
      </c>
      <c r="J26" s="3"/>
      <c r="K26" s="3"/>
      <c r="L26" s="3"/>
      <c r="M26" s="3"/>
      <c r="N26" s="3"/>
      <c r="O26" s="10">
        <f t="shared" si="1"/>
        <v>0.97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9">
        <v>5.0</v>
      </c>
      <c r="B27" s="20">
        <v>1.0</v>
      </c>
      <c r="C27" s="21">
        <v>0.97</v>
      </c>
      <c r="D27" s="6">
        <v>4.0</v>
      </c>
      <c r="E27" s="22">
        <v>25500.0</v>
      </c>
      <c r="F27" s="23">
        <v>0.995</v>
      </c>
      <c r="G27" s="10">
        <v>0.05</v>
      </c>
      <c r="H27" s="3"/>
      <c r="I27" s="3"/>
      <c r="J27" s="3"/>
      <c r="K27" s="3"/>
      <c r="L27" s="3"/>
      <c r="M27" s="3"/>
      <c r="N27" s="3"/>
      <c r="O27" s="10">
        <f t="shared" si="1"/>
        <v>0.97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11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0</v>
      </c>
      <c r="B1" s="3" t="s">
        <v>1</v>
      </c>
      <c r="C1" s="3" t="s">
        <v>2</v>
      </c>
      <c r="D1" s="3" t="s">
        <v>3</v>
      </c>
      <c r="E1" s="1" t="s">
        <v>4</v>
      </c>
      <c r="F1" s="3" t="s">
        <v>5</v>
      </c>
      <c r="G1" s="11" t="s">
        <v>6</v>
      </c>
      <c r="H1" s="3"/>
      <c r="I1" s="3"/>
      <c r="J1" s="3"/>
      <c r="K1" s="3"/>
      <c r="L1" s="3"/>
      <c r="M1" s="3"/>
      <c r="N1" s="3"/>
      <c r="O1" s="11" t="s">
        <v>7</v>
      </c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>
        <v>1.0</v>
      </c>
      <c r="B2" s="5">
        <v>1.0</v>
      </c>
      <c r="C2" s="6">
        <v>0.96</v>
      </c>
      <c r="D2" s="6">
        <v>9.0</v>
      </c>
      <c r="E2" s="8">
        <v>0.0</v>
      </c>
      <c r="F2" s="9">
        <v>0.001</v>
      </c>
      <c r="G2" s="10">
        <v>0.15</v>
      </c>
      <c r="H2" s="3"/>
      <c r="I2" s="3"/>
      <c r="J2" s="3"/>
      <c r="K2" s="3"/>
      <c r="L2" s="3"/>
      <c r="M2" s="3"/>
      <c r="N2" s="3"/>
      <c r="O2" s="10">
        <f t="shared" ref="O2:O27" si="1">C2*EXP( -G2 * ($L$4 - $L$3)^2 )</f>
        <v>0.9542572455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>
        <v>1.0</v>
      </c>
      <c r="B3" s="5">
        <v>1.0</v>
      </c>
      <c r="C3" s="6">
        <v>0.96</v>
      </c>
      <c r="D3" s="6">
        <v>9.0</v>
      </c>
      <c r="E3" s="8">
        <v>4800.0</v>
      </c>
      <c r="F3" s="9">
        <v>0.003</v>
      </c>
      <c r="G3" s="10">
        <v>0.15</v>
      </c>
      <c r="H3" s="12" t="s">
        <v>8</v>
      </c>
      <c r="I3" s="13">
        <v>10000.0</v>
      </c>
      <c r="J3" s="3"/>
      <c r="K3" s="3" t="s">
        <v>9</v>
      </c>
      <c r="L3" s="42">
        <v>1.0</v>
      </c>
      <c r="M3" s="3"/>
      <c r="N3" s="3"/>
      <c r="O3" s="10">
        <f t="shared" si="1"/>
        <v>0.9542572455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>
        <v>1.0</v>
      </c>
      <c r="B4" s="5">
        <v>1.0</v>
      </c>
      <c r="C4" s="6">
        <v>0.96</v>
      </c>
      <c r="D4" s="6">
        <v>9.0</v>
      </c>
      <c r="E4" s="8">
        <v>9600.0</v>
      </c>
      <c r="F4" s="9">
        <v>0.005</v>
      </c>
      <c r="G4" s="10">
        <v>0.15</v>
      </c>
      <c r="H4" s="15" t="s">
        <v>10</v>
      </c>
      <c r="I4" s="16">
        <v>0.474</v>
      </c>
      <c r="J4" s="3"/>
      <c r="K4" s="3" t="s">
        <v>11</v>
      </c>
      <c r="L4" s="42">
        <v>1.2</v>
      </c>
      <c r="M4" s="3"/>
      <c r="N4" s="3"/>
      <c r="O4" s="10">
        <f t="shared" si="1"/>
        <v>0.9542572455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>
        <v>1.0</v>
      </c>
      <c r="B5" s="5">
        <v>1.0</v>
      </c>
      <c r="C5" s="6">
        <v>0.96</v>
      </c>
      <c r="D5" s="6">
        <v>9.0</v>
      </c>
      <c r="E5" s="1">
        <v>14400.0</v>
      </c>
      <c r="F5" s="9">
        <v>0.007</v>
      </c>
      <c r="G5" s="10">
        <v>0.15</v>
      </c>
      <c r="H5" s="3"/>
      <c r="I5" s="3"/>
      <c r="J5" s="3"/>
      <c r="K5" s="3"/>
      <c r="L5" s="3"/>
      <c r="M5" s="3"/>
      <c r="N5" s="3"/>
      <c r="O5" s="10">
        <f t="shared" si="1"/>
        <v>0.9542572455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>
        <v>1.0</v>
      </c>
      <c r="B6" s="5">
        <v>1.0</v>
      </c>
      <c r="C6" s="6">
        <v>0.96</v>
      </c>
      <c r="D6" s="6">
        <v>9.0</v>
      </c>
      <c r="E6" s="8">
        <v>19200.0</v>
      </c>
      <c r="F6" s="9">
        <v>0.012</v>
      </c>
      <c r="G6" s="10">
        <v>0.15</v>
      </c>
      <c r="H6" s="18" t="s">
        <v>12</v>
      </c>
      <c r="I6" s="3"/>
      <c r="J6" s="3"/>
      <c r="K6" s="3"/>
      <c r="L6" s="18" t="s">
        <v>13</v>
      </c>
      <c r="M6" s="3"/>
      <c r="N6" s="3"/>
      <c r="O6" s="10">
        <f t="shared" si="1"/>
        <v>0.9542572455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9">
        <v>1.0</v>
      </c>
      <c r="B7" s="20">
        <v>1.0</v>
      </c>
      <c r="C7" s="21">
        <v>0.96</v>
      </c>
      <c r="D7" s="6">
        <v>9.0</v>
      </c>
      <c r="E7" s="22">
        <v>24000.0</v>
      </c>
      <c r="F7" s="23">
        <v>0.972</v>
      </c>
      <c r="G7" s="10">
        <v>0.15</v>
      </c>
      <c r="H7" s="3"/>
      <c r="I7" s="24" t="s">
        <v>14</v>
      </c>
      <c r="J7" s="24" t="s">
        <v>15</v>
      </c>
      <c r="K7" s="3"/>
      <c r="L7" s="3"/>
      <c r="M7" s="25" t="s">
        <v>16</v>
      </c>
      <c r="N7" s="25" t="s">
        <v>17</v>
      </c>
      <c r="O7" s="10">
        <f t="shared" si="1"/>
        <v>0.9542572455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26">
        <v>2.0</v>
      </c>
      <c r="B8" s="27">
        <v>1.0</v>
      </c>
      <c r="C8" s="44">
        <v>0.95</v>
      </c>
      <c r="D8" s="6">
        <v>12.0</v>
      </c>
      <c r="E8" s="27">
        <v>0.0</v>
      </c>
      <c r="F8" s="29">
        <v>0.001</v>
      </c>
      <c r="G8" s="10">
        <v>0.3</v>
      </c>
      <c r="H8" s="30" t="s">
        <v>18</v>
      </c>
      <c r="I8" s="30">
        <f>I9/C2</f>
        <v>12930.71755</v>
      </c>
      <c r="J8" s="30">
        <f t="shared" ref="J8:J12" si="2">roundup(I8,0)</f>
        <v>12931</v>
      </c>
      <c r="K8" s="3"/>
      <c r="L8" s="30" t="s">
        <v>19</v>
      </c>
      <c r="M8" s="30">
        <f>D2</f>
        <v>9</v>
      </c>
      <c r="N8" s="30">
        <f t="shared" ref="N8:N12" si="3">M8*$I$4</f>
        <v>4.266</v>
      </c>
      <c r="O8" s="10">
        <f t="shared" si="1"/>
        <v>0.9386681272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>
        <v>2.0</v>
      </c>
      <c r="B9" s="5">
        <v>1.0</v>
      </c>
      <c r="C9" s="44">
        <v>0.95</v>
      </c>
      <c r="D9" s="6">
        <v>12.0</v>
      </c>
      <c r="E9" s="8">
        <v>5750.0</v>
      </c>
      <c r="F9" s="9">
        <v>0.001</v>
      </c>
      <c r="G9" s="10">
        <v>0.3</v>
      </c>
      <c r="H9" s="30" t="s">
        <v>20</v>
      </c>
      <c r="I9" s="30">
        <f>I10/C8</f>
        <v>12413.48884</v>
      </c>
      <c r="J9" s="30">
        <f t="shared" si="2"/>
        <v>12414</v>
      </c>
      <c r="K9" s="3"/>
      <c r="L9" s="30" t="s">
        <v>21</v>
      </c>
      <c r="M9" s="30">
        <f>D8</f>
        <v>12</v>
      </c>
      <c r="N9" s="30">
        <f t="shared" si="3"/>
        <v>5.688</v>
      </c>
      <c r="O9" s="10">
        <f t="shared" si="1"/>
        <v>0.9386681272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>
        <v>2.0</v>
      </c>
      <c r="B10" s="5">
        <v>1.0</v>
      </c>
      <c r="C10" s="44">
        <v>0.95</v>
      </c>
      <c r="D10" s="6">
        <v>12.0</v>
      </c>
      <c r="E10" s="8">
        <v>11500.0</v>
      </c>
      <c r="F10" s="9">
        <v>0.004</v>
      </c>
      <c r="G10" s="10">
        <v>0.3</v>
      </c>
      <c r="H10" s="30" t="s">
        <v>22</v>
      </c>
      <c r="I10" s="30">
        <f>I11/C13</f>
        <v>11792.8144</v>
      </c>
      <c r="J10" s="30">
        <f t="shared" si="2"/>
        <v>11793</v>
      </c>
      <c r="K10" s="3"/>
      <c r="L10" s="30" t="s">
        <v>23</v>
      </c>
      <c r="M10" s="30">
        <f>D13</f>
        <v>7</v>
      </c>
      <c r="N10" s="30">
        <f t="shared" si="3"/>
        <v>3.318</v>
      </c>
      <c r="O10" s="10">
        <f t="shared" si="1"/>
        <v>0.9386681272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">
        <v>2.0</v>
      </c>
      <c r="B11" s="5">
        <v>1.0</v>
      </c>
      <c r="C11" s="44">
        <v>0.95</v>
      </c>
      <c r="D11" s="6">
        <v>12.0</v>
      </c>
      <c r="E11" s="8">
        <v>17250.0</v>
      </c>
      <c r="F11" s="9">
        <v>0.005</v>
      </c>
      <c r="G11" s="10">
        <v>0.3</v>
      </c>
      <c r="H11" s="30" t="s">
        <v>24</v>
      </c>
      <c r="I11" s="30">
        <f>I12/C19</f>
        <v>11085.24554</v>
      </c>
      <c r="J11" s="30">
        <f t="shared" si="2"/>
        <v>11086</v>
      </c>
      <c r="K11" s="3"/>
      <c r="L11" s="30" t="s">
        <v>25</v>
      </c>
      <c r="M11" s="30">
        <f>D19</f>
        <v>6</v>
      </c>
      <c r="N11" s="30">
        <f t="shared" si="3"/>
        <v>2.844</v>
      </c>
      <c r="O11" s="10">
        <f t="shared" si="1"/>
        <v>0.9386681272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1">
        <v>2.0</v>
      </c>
      <c r="B12" s="32">
        <v>1.0</v>
      </c>
      <c r="C12" s="44">
        <v>0.95</v>
      </c>
      <c r="D12" s="6">
        <v>12.0</v>
      </c>
      <c r="E12" s="33">
        <v>23000.0</v>
      </c>
      <c r="F12" s="34">
        <v>0.989</v>
      </c>
      <c r="G12" s="10">
        <v>0.3</v>
      </c>
      <c r="H12" s="30" t="s">
        <v>26</v>
      </c>
      <c r="I12" s="30">
        <f>I3/C24</f>
        <v>10309.27835</v>
      </c>
      <c r="J12" s="30">
        <f t="shared" si="2"/>
        <v>10310</v>
      </c>
      <c r="K12" s="3"/>
      <c r="L12" s="30" t="s">
        <v>27</v>
      </c>
      <c r="M12" s="30">
        <f>D24</f>
        <v>4</v>
      </c>
      <c r="N12" s="30">
        <f t="shared" si="3"/>
        <v>1.896</v>
      </c>
      <c r="O12" s="10">
        <f t="shared" si="1"/>
        <v>0.9386681272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5">
        <v>3.0</v>
      </c>
      <c r="B13" s="36">
        <v>1.0</v>
      </c>
      <c r="C13" s="43">
        <v>0.94</v>
      </c>
      <c r="D13" s="6">
        <v>7.0</v>
      </c>
      <c r="E13" s="36">
        <v>0.0</v>
      </c>
      <c r="F13" s="38">
        <v>0.001</v>
      </c>
      <c r="G13" s="10">
        <v>0.4</v>
      </c>
      <c r="H13" s="3"/>
      <c r="I13" s="3"/>
      <c r="J13" s="3"/>
      <c r="K13" s="3"/>
      <c r="L13" s="30" t="s">
        <v>28</v>
      </c>
      <c r="M13" s="30">
        <f t="shared" ref="M13:N13" si="4">sum(M8:M12)</f>
        <v>38</v>
      </c>
      <c r="N13" s="39">
        <f t="shared" si="4"/>
        <v>18.012</v>
      </c>
      <c r="O13" s="10">
        <f t="shared" si="1"/>
        <v>0.9250796809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">
        <v>3.0</v>
      </c>
      <c r="B14" s="5">
        <v>1.0</v>
      </c>
      <c r="C14" s="6">
        <v>0.94</v>
      </c>
      <c r="D14" s="6">
        <v>7.0</v>
      </c>
      <c r="E14" s="8">
        <v>4400.0</v>
      </c>
      <c r="F14" s="9">
        <v>0.003</v>
      </c>
      <c r="G14" s="10">
        <v>0.4</v>
      </c>
      <c r="H14" s="25" t="s">
        <v>29</v>
      </c>
      <c r="I14" s="3"/>
      <c r="J14" s="3"/>
      <c r="K14" s="3"/>
      <c r="L14" s="3"/>
      <c r="M14" s="3"/>
      <c r="N14" s="3"/>
      <c r="O14" s="10">
        <f t="shared" si="1"/>
        <v>0.9250796809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4">
        <v>3.0</v>
      </c>
      <c r="B15" s="5">
        <v>1.0</v>
      </c>
      <c r="C15" s="6">
        <v>0.94</v>
      </c>
      <c r="D15" s="6">
        <v>7.0</v>
      </c>
      <c r="E15" s="8">
        <v>8800.0</v>
      </c>
      <c r="F15" s="9">
        <v>0.003</v>
      </c>
      <c r="G15" s="10">
        <v>0.4</v>
      </c>
      <c r="H15" s="40">
        <f>IFERROR(__xludf.DUMMYFUNCTION("IFERROR(
  MIN( FILTER(E2:E7, E2:E7&gt;= J8) ),
  ""無符合條件""
)"),14400.0)</f>
        <v>14400</v>
      </c>
      <c r="I15" s="40">
        <f>IFERROR(__xludf.DUMMYFUNCTION("IFERROR(
  MIN( FILTER(E8:E12, E8:E12&gt;= J9) ),
  ""無符合條件""
)"),17250.0)</f>
        <v>17250</v>
      </c>
      <c r="J15" s="40">
        <f>IFERROR(__xludf.DUMMYFUNCTION("IFERROR(
  MIN( FILTER(E13:E18, E13:E18&gt;= J10) ),
  ""無符合條件""
)"),13200.0)</f>
        <v>13200</v>
      </c>
      <c r="K15" s="40">
        <f>IFERROR(__xludf.DUMMYFUNCTION("IFERROR(
  MIN( FILTER(E19:E23, E19:E23&gt;= J11) ),
  ""無符合條件""
)"),15750.0)</f>
        <v>15750</v>
      </c>
      <c r="L15" s="40">
        <f>IFERROR(__xludf.DUMMYFUNCTION("IFERROR(
  MIN( FILTER(E24:E27, E24:E27&gt;= J12) ),
  ""無符合條件""
)"),17000.0)</f>
        <v>17000</v>
      </c>
      <c r="M15" s="3"/>
      <c r="N15" s="3"/>
      <c r="O15" s="10">
        <f t="shared" si="1"/>
        <v>0.9250796809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">
        <v>3.0</v>
      </c>
      <c r="B16" s="5">
        <v>1.0</v>
      </c>
      <c r="C16" s="6">
        <v>0.94</v>
      </c>
      <c r="D16" s="6">
        <v>7.0</v>
      </c>
      <c r="E16" s="8">
        <v>13200.0</v>
      </c>
      <c r="F16" s="9">
        <v>0.005</v>
      </c>
      <c r="G16" s="10">
        <v>0.4</v>
      </c>
      <c r="H16" s="3"/>
      <c r="I16" s="3"/>
      <c r="J16" s="3"/>
      <c r="K16" s="3"/>
      <c r="L16" s="3"/>
      <c r="M16" s="3"/>
      <c r="N16" s="3"/>
      <c r="O16" s="10">
        <f t="shared" si="1"/>
        <v>0.9250796809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">
        <v>3.0</v>
      </c>
      <c r="B17" s="5">
        <v>1.0</v>
      </c>
      <c r="C17" s="6">
        <v>0.94</v>
      </c>
      <c r="D17" s="6">
        <v>7.0</v>
      </c>
      <c r="E17" s="8">
        <v>17600.0</v>
      </c>
      <c r="F17" s="9">
        <v>0.007</v>
      </c>
      <c r="G17" s="10">
        <v>0.4</v>
      </c>
      <c r="H17" s="18" t="s">
        <v>30</v>
      </c>
      <c r="I17" s="3"/>
      <c r="J17" s="3"/>
      <c r="K17" s="3"/>
      <c r="L17" s="3"/>
      <c r="M17" s="3"/>
      <c r="N17" s="3"/>
      <c r="O17" s="10">
        <f t="shared" si="1"/>
        <v>0.9250796809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1">
        <v>3.0</v>
      </c>
      <c r="B18" s="32">
        <v>1.0</v>
      </c>
      <c r="C18" s="6">
        <v>0.94</v>
      </c>
      <c r="D18" s="6">
        <v>7.0</v>
      </c>
      <c r="E18" s="33">
        <v>22000.0</v>
      </c>
      <c r="F18" s="34">
        <v>0.981</v>
      </c>
      <c r="G18" s="10">
        <v>0.4</v>
      </c>
      <c r="H18" s="30" t="s">
        <v>31</v>
      </c>
      <c r="I18" s="41">
        <f>IFS(J8=0, F2,
    AND(J8&gt;=1, J8&lt;=E3), SUM(F3:F7),
    AND(J8&gt;=E3+1,J8&lt;=E4), SUM(F4:F7),
    AND(J8&gt;=E4+1, J8&lt;=E5), SUM(F5:F7),
    AND(J8&gt;=E5+1, J8&lt;=E6), SUM(F6:F7),
    AND(J8&gt;=E6+1, J8&lt;=E7), F7,
    J8&gt;E7, "無法計算"
)*IFS(J9=0, F8,
    AND(J9&gt;=1, J9&lt;=E9), SUM(F9:F12),
    AND(J9&gt;=E9+1, J9&lt;=E10), SUM(F10:F12),
    AND(J9&gt;=E10+1, J9&lt;=E11), SUM(F11:F12),
    AND(J9&gt;=E11+1, J9&lt;=E12), F12,
    J9&gt;E12, "無法計算"
)*IFS(J10=0, F13,
    AND(J10&gt;=1, J10&lt;=E14), SUM(F14:F18),
    AND(J10&gt;=E14+1, J10&lt;=E15), SUM(F15:F18),
    AND(J10&gt;=E15+1, J10&lt;=E16), SUM(F16:F18),
    AND(J10&gt;=E16+1, J10&lt;=E17), SUM(F17:F18),
    AND(J10&gt;=E17+1, J10&lt;=E18), F18,
    J10&gt;E18, "無法計算"
)*IFS(J11=0, F19,
    AND(J11&gt;=1, J11&lt;=E20), SUM(F20:F23),
    AND(J11&gt;=E20+1, J11&lt;=E21), SUM(F21:F23),
    AND(J11&gt;=E21+1, J11&lt;=E22), SUM(F22:F23),
    AND(J11&gt;=E22+1, J11&lt;=E23), F23,
    J11&gt;E23, "無法計算"
)*IFS(J12=0, F24,
    AND(J12&gt;=1, J12&lt;=E25), SUM(F25:F27),
    AND(J12&gt;=E25+1, J12&lt;=E26), SUM(F26:F27),
    AND(J12&gt;=E26+1, J12&lt;=E27), F27,
    J12&gt;E27, "無法計算"
)</f>
        <v>0.9615592702</v>
      </c>
      <c r="J18" s="3"/>
      <c r="K18" s="3"/>
      <c r="L18" s="3"/>
      <c r="M18" s="3"/>
      <c r="N18" s="3"/>
      <c r="O18" s="10">
        <f t="shared" si="1"/>
        <v>0.9250796809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5">
        <v>4.0</v>
      </c>
      <c r="B19" s="36">
        <v>1.0</v>
      </c>
      <c r="C19" s="6">
        <v>0.93</v>
      </c>
      <c r="D19" s="6">
        <v>6.0</v>
      </c>
      <c r="E19" s="36">
        <v>0.0</v>
      </c>
      <c r="F19" s="38">
        <v>0.003</v>
      </c>
      <c r="G19" s="10">
        <v>0.5</v>
      </c>
      <c r="H19" s="3"/>
      <c r="I19" s="3"/>
      <c r="J19" s="3"/>
      <c r="K19" s="3"/>
      <c r="L19" s="3"/>
      <c r="M19" s="3"/>
      <c r="N19" s="3"/>
      <c r="O19" s="10">
        <f t="shared" si="1"/>
        <v>0.9115847662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4">
        <v>4.0</v>
      </c>
      <c r="B20" s="5">
        <v>1.0</v>
      </c>
      <c r="C20" s="6">
        <v>0.93</v>
      </c>
      <c r="D20" s="6">
        <v>6.0</v>
      </c>
      <c r="E20" s="8">
        <v>5250.0</v>
      </c>
      <c r="F20" s="9">
        <v>0.005</v>
      </c>
      <c r="G20" s="10">
        <v>0.5</v>
      </c>
      <c r="H20" s="18" t="s">
        <v>32</v>
      </c>
      <c r="I20" s="3" t="s">
        <v>33</v>
      </c>
      <c r="J20" s="3"/>
      <c r="K20" s="3"/>
      <c r="L20" s="3"/>
      <c r="M20" s="3"/>
      <c r="N20" s="3"/>
      <c r="O20" s="10">
        <f t="shared" si="1"/>
        <v>0.9115847662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4">
        <v>4.0</v>
      </c>
      <c r="B21" s="5">
        <v>1.0</v>
      </c>
      <c r="C21" s="6">
        <v>0.93</v>
      </c>
      <c r="D21" s="6">
        <v>6.0</v>
      </c>
      <c r="E21" s="8">
        <v>10500.0</v>
      </c>
      <c r="F21" s="9">
        <v>0.007</v>
      </c>
      <c r="G21" s="10">
        <v>0.5</v>
      </c>
      <c r="H21" s="30" t="s">
        <v>19</v>
      </c>
      <c r="I21" s="42">
        <f>I8*(1-O2)</f>
        <v>591.4866383</v>
      </c>
      <c r="J21" s="3"/>
      <c r="K21" s="3"/>
      <c r="L21" s="3"/>
      <c r="M21" s="3"/>
      <c r="N21" s="3"/>
      <c r="O21" s="10">
        <f t="shared" si="1"/>
        <v>0.9115847662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4">
        <v>4.0</v>
      </c>
      <c r="B22" s="5">
        <v>1.0</v>
      </c>
      <c r="C22" s="6">
        <v>0.93</v>
      </c>
      <c r="D22" s="6">
        <v>6.0</v>
      </c>
      <c r="E22" s="8">
        <v>15750.0</v>
      </c>
      <c r="F22" s="9">
        <v>0.01</v>
      </c>
      <c r="G22" s="10">
        <v>0.5</v>
      </c>
      <c r="H22" s="30" t="s">
        <v>21</v>
      </c>
      <c r="I22" s="42">
        <f>I9*(1-O8)</f>
        <v>761.3425186</v>
      </c>
      <c r="J22" s="3"/>
      <c r="K22" s="3"/>
      <c r="L22" s="3"/>
      <c r="M22" s="3"/>
      <c r="N22" s="3"/>
      <c r="O22" s="10">
        <f t="shared" si="1"/>
        <v>0.9115847662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1">
        <v>4.0</v>
      </c>
      <c r="B23" s="32">
        <v>1.0</v>
      </c>
      <c r="C23" s="44">
        <v>0.93</v>
      </c>
      <c r="D23" s="6">
        <v>6.0</v>
      </c>
      <c r="E23" s="33">
        <v>21000.0</v>
      </c>
      <c r="F23" s="34">
        <v>0.975</v>
      </c>
      <c r="G23" s="10">
        <v>0.5</v>
      </c>
      <c r="H23" s="30" t="s">
        <v>23</v>
      </c>
      <c r="I23" s="42">
        <f>I10*(1-O13)</f>
        <v>883.5214187</v>
      </c>
      <c r="J23" s="3"/>
      <c r="K23" s="3"/>
      <c r="L23" s="3"/>
      <c r="M23" s="3"/>
      <c r="N23" s="3"/>
      <c r="O23" s="10">
        <f t="shared" si="1"/>
        <v>0.9115847662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5">
        <v>5.0</v>
      </c>
      <c r="B24" s="36">
        <v>1.0</v>
      </c>
      <c r="C24" s="43">
        <v>0.97</v>
      </c>
      <c r="D24" s="6">
        <v>4.0</v>
      </c>
      <c r="E24" s="36">
        <v>0.0</v>
      </c>
      <c r="F24" s="38">
        <v>0.001</v>
      </c>
      <c r="G24" s="10">
        <v>0.05</v>
      </c>
      <c r="H24" s="30" t="s">
        <v>25</v>
      </c>
      <c r="I24" s="42">
        <f>I11*(1-O19)</f>
        <v>980.1045763</v>
      </c>
      <c r="J24" s="3"/>
      <c r="K24" s="3"/>
      <c r="L24" s="3"/>
      <c r="M24" s="3"/>
      <c r="N24" s="3"/>
      <c r="O24" s="10">
        <f t="shared" si="1"/>
        <v>0.9680619387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4">
        <v>5.0</v>
      </c>
      <c r="B25" s="5">
        <v>1.0</v>
      </c>
      <c r="C25" s="6">
        <v>0.97</v>
      </c>
      <c r="D25" s="6">
        <v>4.0</v>
      </c>
      <c r="E25" s="8">
        <v>8500.0</v>
      </c>
      <c r="F25" s="9">
        <v>0.001</v>
      </c>
      <c r="G25" s="10">
        <v>0.05</v>
      </c>
      <c r="H25" s="30" t="s">
        <v>27</v>
      </c>
      <c r="I25" s="42">
        <f>I12*(1-O24)</f>
        <v>329.2583638</v>
      </c>
      <c r="J25" s="3"/>
      <c r="K25" s="3"/>
      <c r="L25" s="3"/>
      <c r="M25" s="3"/>
      <c r="N25" s="3"/>
      <c r="O25" s="10">
        <f t="shared" si="1"/>
        <v>0.9680619387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>
        <v>5.0</v>
      </c>
      <c r="B26" s="5">
        <v>1.0</v>
      </c>
      <c r="C26" s="6">
        <v>0.97</v>
      </c>
      <c r="D26" s="6">
        <v>4.0</v>
      </c>
      <c r="E26" s="8">
        <v>17000.0</v>
      </c>
      <c r="F26" s="9">
        <v>0.003</v>
      </c>
      <c r="G26" s="10">
        <v>0.05</v>
      </c>
      <c r="H26" s="30" t="s">
        <v>28</v>
      </c>
      <c r="I26" s="42">
        <f>SUM(I21:I25)</f>
        <v>3545.713516</v>
      </c>
      <c r="J26" s="3"/>
      <c r="K26" s="3"/>
      <c r="L26" s="3"/>
      <c r="M26" s="3"/>
      <c r="N26" s="3"/>
      <c r="O26" s="10">
        <f t="shared" si="1"/>
        <v>0.9680619387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9">
        <v>5.0</v>
      </c>
      <c r="B27" s="20">
        <v>1.0</v>
      </c>
      <c r="C27" s="21">
        <v>0.97</v>
      </c>
      <c r="D27" s="6">
        <v>4.0</v>
      </c>
      <c r="E27" s="22">
        <v>25500.0</v>
      </c>
      <c r="F27" s="23">
        <v>0.995</v>
      </c>
      <c r="G27" s="10">
        <v>0.05</v>
      </c>
      <c r="H27" s="3"/>
      <c r="I27" s="3"/>
      <c r="J27" s="3"/>
      <c r="K27" s="3"/>
      <c r="L27" s="3"/>
      <c r="M27" s="3"/>
      <c r="N27" s="3"/>
      <c r="O27" s="10">
        <f t="shared" si="1"/>
        <v>0.9680619387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rawing r:id="rId1"/>
</worksheet>
</file>